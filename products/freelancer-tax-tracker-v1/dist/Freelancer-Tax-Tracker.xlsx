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come Log" sheetId="2" state="visible" r:id="rId2"/>
    <sheet name="Expense Log" sheetId="3" state="visible" r:id="rId3"/>
    <sheet name="Quarterly Tax Estimator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16">
    <font>
      <name val="Calibri"/>
      <family val="2"/>
      <color theme="1"/>
      <sz val="11"/>
      <scheme val="minor"/>
    </font>
    <font>
      <b val="1"/>
      <color rgb="001C1C1E"/>
      <sz val="16"/>
    </font>
    <font>
      <color rgb="001C1C1E"/>
      <sz val="11"/>
    </font>
    <font>
      <b val="1"/>
      <color rgb="001C1C1E"/>
      <sz val="11"/>
    </font>
    <font>
      <color rgb="005A5A60"/>
      <sz val="11"/>
    </font>
    <font>
      <b val="1"/>
      <color rgb="00FFFFFF"/>
      <sz val="11"/>
    </font>
    <font>
      <i val="1"/>
      <color rgb="005A5A60"/>
      <sz val="9.5"/>
    </font>
    <font>
      <b val="1"/>
      <sz val="11"/>
    </font>
    <font>
      <b val="1"/>
      <color rgb="002F5D50"/>
      <sz val="11"/>
    </font>
    <font>
      <sz val="10.5"/>
    </font>
    <font>
      <b val="1"/>
      <color rgb="002F5D50"/>
      <sz val="12"/>
    </font>
    <font>
      <color rgb="005A5A60"/>
      <sz val="10.5"/>
    </font>
    <font>
      <color rgb="002F5D50"/>
      <sz val="11"/>
    </font>
    <font>
      <b val="1"/>
      <sz val="10.5"/>
    </font>
    <font>
      <i val="1"/>
      <color rgb="005A5A60"/>
      <sz val="9.300000000000001"/>
    </font>
    <font>
      <sz val="10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4ECE9"/>
      </patternFill>
    </fill>
  </fills>
  <borders count="2">
    <border>
      <left/>
      <right/>
      <top/>
      <bottom/>
      <diagonal/>
    </border>
    <border>
      <left style="thin">
        <color rgb="00D8D6CC"/>
      </left>
      <right style="thin">
        <color rgb="00D8D6CC"/>
      </right>
      <top style="thin">
        <color rgb="00D8D6CC"/>
      </top>
      <bottom style="thin">
        <color rgb="00D8D6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64" fontId="5" fillId="2" borderId="0" applyAlignment="1" pivotButton="0" quotePrefix="0" xfId="0">
      <alignment vertical="center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164" fontId="12" fillId="0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2">
      <c r="A2" s="1" t="inlineStr">
        <is>
          <t>Freelancer Quarterly Tax &amp; Expense Tracker — 2026 Edition</t>
        </is>
      </c>
    </row>
    <row r="3">
      <c r="A3" s="2" t="inlineStr"/>
    </row>
    <row r="4">
      <c r="A4" s="3" t="inlineStr">
        <is>
          <t>How to use this workbook:</t>
        </is>
      </c>
    </row>
    <row r="5">
      <c r="A5" s="4" t="inlineStr">
        <is>
          <t>1. Log every client payment on the 'Income Log' tab as it arrives.</t>
        </is>
      </c>
    </row>
    <row r="6">
      <c r="A6" s="4" t="inlineStr">
        <is>
          <t>2. Log every business expense on the 'Expense Log' tab — pick a category from the dropdown; it maps to real IRS Schedule C lines (see the PDF guide).</t>
        </is>
      </c>
    </row>
    <row r="7">
      <c r="A7" s="4" t="inlineStr">
        <is>
          <t>3. Meals default to 50% deductible — the sheet applies that automatically; every other category defaults to 100% but you can override the % on any row.</t>
        </is>
      </c>
    </row>
    <row r="8">
      <c r="A8" s="4" t="inlineStr">
        <is>
          <t>4. Open the 'Quarterly Tax Estimator' tab and type your projected full-year net profit — it calculates your exact self-employment tax using the real 2026 formula.</t>
        </is>
      </c>
    </row>
    <row r="9">
      <c r="A9" s="4" t="inlineStr">
        <is>
          <t>5. Check the 'Dashboard' tab any time for a live snapshot: income, expenses, net profit, and how many days until your next quarterly payment is due.</t>
        </is>
      </c>
    </row>
    <row r="10">
      <c r="A10" s="2" t="inlineStr"/>
    </row>
    <row r="11">
      <c r="A11" s="2" t="inlineStr">
        <is>
          <t>This workbook is a bookkeeping and estimating tool, not tax software — it does not file anything or replace a preparer. It exists so your numbers are already organized when tax time comes.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32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Client</t>
        </is>
      </c>
      <c r="C1" s="5" t="inlineStr">
        <is>
          <t>Invoice #</t>
        </is>
      </c>
      <c r="D1" s="5" t="inlineStr">
        <is>
          <t>Description</t>
        </is>
      </c>
      <c r="E1" s="5" t="inlineStr">
        <is>
          <t>Amount</t>
        </is>
      </c>
      <c r="F1" s="5" t="inlineStr">
        <is>
          <t>Date Paid</t>
        </is>
      </c>
    </row>
    <row r="2">
      <c r="A2" s="6" t="n"/>
      <c r="B2" s="6" t="n"/>
      <c r="C2" s="6" t="n"/>
      <c r="D2" s="6" t="n"/>
      <c r="E2" s="7" t="n"/>
      <c r="F2" s="6" t="n"/>
    </row>
    <row r="3">
      <c r="A3" s="6" t="n"/>
      <c r="B3" s="6" t="n"/>
      <c r="C3" s="6" t="n"/>
      <c r="D3" s="6" t="n"/>
      <c r="E3" s="7" t="n"/>
      <c r="F3" s="6" t="n"/>
    </row>
    <row r="4">
      <c r="A4" s="6" t="n"/>
      <c r="B4" s="6" t="n"/>
      <c r="C4" s="6" t="n"/>
      <c r="D4" s="6" t="n"/>
      <c r="E4" s="7" t="n"/>
      <c r="F4" s="6" t="n"/>
    </row>
    <row r="5">
      <c r="A5" s="6" t="n"/>
      <c r="B5" s="6" t="n"/>
      <c r="C5" s="6" t="n"/>
      <c r="D5" s="6" t="n"/>
      <c r="E5" s="7" t="n"/>
      <c r="F5" s="6" t="n"/>
    </row>
    <row r="6">
      <c r="A6" s="6" t="n"/>
      <c r="B6" s="6" t="n"/>
      <c r="C6" s="6" t="n"/>
      <c r="D6" s="6" t="n"/>
      <c r="E6" s="7" t="n"/>
      <c r="F6" s="6" t="n"/>
    </row>
    <row r="7">
      <c r="A7" s="6" t="n"/>
      <c r="B7" s="6" t="n"/>
      <c r="C7" s="6" t="n"/>
      <c r="D7" s="6" t="n"/>
      <c r="E7" s="7" t="n"/>
      <c r="F7" s="6" t="n"/>
    </row>
    <row r="8">
      <c r="A8" s="6" t="n"/>
      <c r="B8" s="6" t="n"/>
      <c r="C8" s="6" t="n"/>
      <c r="D8" s="6" t="n"/>
      <c r="E8" s="7" t="n"/>
      <c r="F8" s="6" t="n"/>
    </row>
    <row r="9">
      <c r="A9" s="6" t="n"/>
      <c r="B9" s="6" t="n"/>
      <c r="C9" s="6" t="n"/>
      <c r="D9" s="6" t="n"/>
      <c r="E9" s="7" t="n"/>
      <c r="F9" s="6" t="n"/>
    </row>
    <row r="10">
      <c r="A10" s="6" t="n"/>
      <c r="B10" s="6" t="n"/>
      <c r="C10" s="6" t="n"/>
      <c r="D10" s="6" t="n"/>
      <c r="E10" s="7" t="n"/>
      <c r="F10" s="6" t="n"/>
    </row>
    <row r="11">
      <c r="A11" s="6" t="n"/>
      <c r="B11" s="6" t="n"/>
      <c r="C11" s="6" t="n"/>
      <c r="D11" s="6" t="n"/>
      <c r="E11" s="7" t="n"/>
      <c r="F11" s="6" t="n"/>
    </row>
    <row r="12">
      <c r="A12" s="6" t="n"/>
      <c r="B12" s="6" t="n"/>
      <c r="C12" s="6" t="n"/>
      <c r="D12" s="6" t="n"/>
      <c r="E12" s="7" t="n"/>
      <c r="F12" s="6" t="n"/>
    </row>
    <row r="13">
      <c r="A13" s="6" t="n"/>
      <c r="B13" s="6" t="n"/>
      <c r="C13" s="6" t="n"/>
      <c r="D13" s="6" t="n"/>
      <c r="E13" s="7" t="n"/>
      <c r="F13" s="6" t="n"/>
    </row>
    <row r="14">
      <c r="A14" s="6" t="n"/>
      <c r="B14" s="6" t="n"/>
      <c r="C14" s="6" t="n"/>
      <c r="D14" s="6" t="n"/>
      <c r="E14" s="7" t="n"/>
      <c r="F14" s="6" t="n"/>
    </row>
    <row r="15">
      <c r="A15" s="6" t="n"/>
      <c r="B15" s="6" t="n"/>
      <c r="C15" s="6" t="n"/>
      <c r="D15" s="6" t="n"/>
      <c r="E15" s="7" t="n"/>
      <c r="F15" s="6" t="n"/>
    </row>
    <row r="16">
      <c r="A16" s="6" t="n"/>
      <c r="B16" s="6" t="n"/>
      <c r="C16" s="6" t="n"/>
      <c r="D16" s="6" t="n"/>
      <c r="E16" s="7" t="n"/>
      <c r="F16" s="6" t="n"/>
    </row>
    <row r="17">
      <c r="A17" s="6" t="n"/>
      <c r="B17" s="6" t="n"/>
      <c r="C17" s="6" t="n"/>
      <c r="D17" s="6" t="n"/>
      <c r="E17" s="7" t="n"/>
      <c r="F17" s="6" t="n"/>
    </row>
    <row r="18">
      <c r="A18" s="6" t="n"/>
      <c r="B18" s="6" t="n"/>
      <c r="C18" s="6" t="n"/>
      <c r="D18" s="6" t="n"/>
      <c r="E18" s="7" t="n"/>
      <c r="F18" s="6" t="n"/>
    </row>
    <row r="19">
      <c r="A19" s="6" t="n"/>
      <c r="B19" s="6" t="n"/>
      <c r="C19" s="6" t="n"/>
      <c r="D19" s="6" t="n"/>
      <c r="E19" s="7" t="n"/>
      <c r="F19" s="6" t="n"/>
    </row>
    <row r="20">
      <c r="A20" s="6" t="n"/>
      <c r="B20" s="6" t="n"/>
      <c r="C20" s="6" t="n"/>
      <c r="D20" s="6" t="n"/>
      <c r="E20" s="7" t="n"/>
      <c r="F20" s="6" t="n"/>
    </row>
    <row r="21">
      <c r="A21" s="6" t="n"/>
      <c r="B21" s="6" t="n"/>
      <c r="C21" s="6" t="n"/>
      <c r="D21" s="6" t="n"/>
      <c r="E21" s="7" t="n"/>
      <c r="F21" s="6" t="n"/>
    </row>
    <row r="22">
      <c r="A22" s="6" t="n"/>
      <c r="B22" s="6" t="n"/>
      <c r="C22" s="6" t="n"/>
      <c r="D22" s="6" t="n"/>
      <c r="E22" s="7" t="n"/>
      <c r="F22" s="6" t="n"/>
    </row>
    <row r="23">
      <c r="A23" s="6" t="n"/>
      <c r="B23" s="6" t="n"/>
      <c r="C23" s="6" t="n"/>
      <c r="D23" s="6" t="n"/>
      <c r="E23" s="7" t="n"/>
      <c r="F23" s="6" t="n"/>
    </row>
    <row r="24">
      <c r="A24" s="6" t="n"/>
      <c r="B24" s="6" t="n"/>
      <c r="C24" s="6" t="n"/>
      <c r="D24" s="6" t="n"/>
      <c r="E24" s="7" t="n"/>
      <c r="F24" s="6" t="n"/>
    </row>
    <row r="25">
      <c r="A25" s="6" t="n"/>
      <c r="B25" s="6" t="n"/>
      <c r="C25" s="6" t="n"/>
      <c r="D25" s="6" t="n"/>
      <c r="E25" s="7" t="n"/>
      <c r="F25" s="6" t="n"/>
    </row>
    <row r="26">
      <c r="A26" s="6" t="n"/>
      <c r="B26" s="6" t="n"/>
      <c r="C26" s="6" t="n"/>
      <c r="D26" s="6" t="n"/>
      <c r="E26" s="7" t="n"/>
      <c r="F26" s="6" t="n"/>
    </row>
    <row r="27">
      <c r="A27" s="6" t="n"/>
      <c r="B27" s="6" t="n"/>
      <c r="C27" s="6" t="n"/>
      <c r="D27" s="6" t="n"/>
      <c r="E27" s="7" t="n"/>
      <c r="F27" s="6" t="n"/>
    </row>
    <row r="28">
      <c r="A28" s="6" t="n"/>
      <c r="B28" s="6" t="n"/>
      <c r="C28" s="6" t="n"/>
      <c r="D28" s="6" t="n"/>
      <c r="E28" s="7" t="n"/>
      <c r="F28" s="6" t="n"/>
    </row>
    <row r="29">
      <c r="A29" s="6" t="n"/>
      <c r="B29" s="6" t="n"/>
      <c r="C29" s="6" t="n"/>
      <c r="D29" s="6" t="n"/>
      <c r="E29" s="7" t="n"/>
      <c r="F29" s="6" t="n"/>
    </row>
    <row r="30">
      <c r="A30" s="6" t="n"/>
      <c r="B30" s="6" t="n"/>
      <c r="C30" s="6" t="n"/>
      <c r="D30" s="6" t="n"/>
      <c r="E30" s="7" t="n"/>
      <c r="F30" s="6" t="n"/>
    </row>
    <row r="31">
      <c r="A31" s="6" t="n"/>
      <c r="B31" s="6" t="n"/>
      <c r="C31" s="6" t="n"/>
      <c r="D31" s="6" t="n"/>
      <c r="E31" s="7" t="n"/>
      <c r="F31" s="6" t="n"/>
    </row>
    <row r="32">
      <c r="A32" s="6" t="n"/>
      <c r="B32" s="6" t="n"/>
      <c r="C32" s="6" t="n"/>
      <c r="D32" s="6" t="n"/>
      <c r="E32" s="7" t="n"/>
      <c r="F32" s="6" t="n"/>
    </row>
    <row r="33">
      <c r="A33" s="6" t="n"/>
      <c r="B33" s="6" t="n"/>
      <c r="C33" s="6" t="n"/>
      <c r="D33" s="6" t="n"/>
      <c r="E33" s="7" t="n"/>
      <c r="F33" s="6" t="n"/>
    </row>
    <row r="34">
      <c r="A34" s="6" t="n"/>
      <c r="B34" s="6" t="n"/>
      <c r="C34" s="6" t="n"/>
      <c r="D34" s="6" t="n"/>
      <c r="E34" s="7" t="n"/>
      <c r="F34" s="6" t="n"/>
    </row>
    <row r="35">
      <c r="A35" s="6" t="n"/>
      <c r="B35" s="6" t="n"/>
      <c r="C35" s="6" t="n"/>
      <c r="D35" s="6" t="n"/>
      <c r="E35" s="7" t="n"/>
      <c r="F35" s="6" t="n"/>
    </row>
    <row r="36">
      <c r="A36" s="6" t="n"/>
      <c r="B36" s="6" t="n"/>
      <c r="C36" s="6" t="n"/>
      <c r="D36" s="6" t="n"/>
      <c r="E36" s="7" t="n"/>
      <c r="F36" s="6" t="n"/>
    </row>
    <row r="37">
      <c r="A37" s="6" t="n"/>
      <c r="B37" s="6" t="n"/>
      <c r="C37" s="6" t="n"/>
      <c r="D37" s="6" t="n"/>
      <c r="E37" s="7" t="n"/>
      <c r="F37" s="6" t="n"/>
    </row>
    <row r="38">
      <c r="A38" s="6" t="n"/>
      <c r="B38" s="6" t="n"/>
      <c r="C38" s="6" t="n"/>
      <c r="D38" s="6" t="n"/>
      <c r="E38" s="7" t="n"/>
      <c r="F38" s="6" t="n"/>
    </row>
    <row r="39">
      <c r="A39" s="6" t="n"/>
      <c r="B39" s="6" t="n"/>
      <c r="C39" s="6" t="n"/>
      <c r="D39" s="6" t="n"/>
      <c r="E39" s="7" t="n"/>
      <c r="F39" s="6" t="n"/>
    </row>
    <row r="40">
      <c r="A40" s="6" t="n"/>
      <c r="B40" s="6" t="n"/>
      <c r="C40" s="6" t="n"/>
      <c r="D40" s="6" t="n"/>
      <c r="E40" s="7" t="n"/>
      <c r="F40" s="6" t="n"/>
    </row>
    <row r="41">
      <c r="A41" s="6" t="n"/>
      <c r="B41" s="6" t="n"/>
      <c r="C41" s="6" t="n"/>
      <c r="D41" s="6" t="n"/>
      <c r="E41" s="7" t="n"/>
      <c r="F41" s="6" t="n"/>
    </row>
    <row r="42">
      <c r="A42" s="6" t="n"/>
      <c r="B42" s="6" t="n"/>
      <c r="C42" s="6" t="n"/>
      <c r="D42" s="6" t="n"/>
      <c r="E42" s="7" t="n"/>
      <c r="F42" s="6" t="n"/>
    </row>
    <row r="43">
      <c r="A43" s="6" t="n"/>
      <c r="B43" s="6" t="n"/>
      <c r="C43" s="6" t="n"/>
      <c r="D43" s="6" t="n"/>
      <c r="E43" s="7" t="n"/>
      <c r="F43" s="6" t="n"/>
    </row>
    <row r="44">
      <c r="A44" s="6" t="n"/>
      <c r="B44" s="6" t="n"/>
      <c r="C44" s="6" t="n"/>
      <c r="D44" s="6" t="n"/>
      <c r="E44" s="7" t="n"/>
      <c r="F44" s="6" t="n"/>
    </row>
    <row r="45">
      <c r="A45" s="6" t="n"/>
      <c r="B45" s="6" t="n"/>
      <c r="C45" s="6" t="n"/>
      <c r="D45" s="6" t="n"/>
      <c r="E45" s="7" t="n"/>
      <c r="F45" s="6" t="n"/>
    </row>
    <row r="46">
      <c r="A46" s="6" t="n"/>
      <c r="B46" s="6" t="n"/>
      <c r="C46" s="6" t="n"/>
      <c r="D46" s="6" t="n"/>
      <c r="E46" s="7" t="n"/>
      <c r="F46" s="6" t="n"/>
    </row>
    <row r="47">
      <c r="A47" s="6" t="n"/>
      <c r="B47" s="6" t="n"/>
      <c r="C47" s="6" t="n"/>
      <c r="D47" s="6" t="n"/>
      <c r="E47" s="7" t="n"/>
      <c r="F47" s="6" t="n"/>
    </row>
    <row r="48">
      <c r="A48" s="6" t="n"/>
      <c r="B48" s="6" t="n"/>
      <c r="C48" s="6" t="n"/>
      <c r="D48" s="6" t="n"/>
      <c r="E48" s="7" t="n"/>
      <c r="F48" s="6" t="n"/>
    </row>
    <row r="49">
      <c r="A49" s="6" t="n"/>
      <c r="B49" s="6" t="n"/>
      <c r="C49" s="6" t="n"/>
      <c r="D49" s="6" t="n"/>
      <c r="E49" s="7" t="n"/>
      <c r="F49" s="6" t="n"/>
    </row>
    <row r="50">
      <c r="A50" s="6" t="n"/>
      <c r="B50" s="6" t="n"/>
      <c r="C50" s="6" t="n"/>
      <c r="D50" s="6" t="n"/>
      <c r="E50" s="7" t="n"/>
      <c r="F50" s="6" t="n"/>
    </row>
    <row r="51">
      <c r="A51" s="6" t="n"/>
      <c r="B51" s="6" t="n"/>
      <c r="C51" s="6" t="n"/>
      <c r="D51" s="6" t="n"/>
      <c r="E51" s="7" t="n"/>
      <c r="F51" s="6" t="n"/>
    </row>
    <row r="52">
      <c r="A52" s="6" t="n"/>
      <c r="B52" s="6" t="n"/>
      <c r="C52" s="6" t="n"/>
      <c r="D52" s="6" t="n"/>
      <c r="E52" s="7" t="n"/>
      <c r="F52" s="6" t="n"/>
    </row>
    <row r="53">
      <c r="A53" s="6" t="n"/>
      <c r="B53" s="6" t="n"/>
      <c r="C53" s="6" t="n"/>
      <c r="D53" s="6" t="n"/>
      <c r="E53" s="7" t="n"/>
      <c r="F53" s="6" t="n"/>
    </row>
    <row r="54">
      <c r="A54" s="6" t="n"/>
      <c r="B54" s="6" t="n"/>
      <c r="C54" s="6" t="n"/>
      <c r="D54" s="6" t="n"/>
      <c r="E54" s="7" t="n"/>
      <c r="F54" s="6" t="n"/>
    </row>
    <row r="55">
      <c r="A55" s="6" t="n"/>
      <c r="B55" s="6" t="n"/>
      <c r="C55" s="6" t="n"/>
      <c r="D55" s="6" t="n"/>
      <c r="E55" s="7" t="n"/>
      <c r="F55" s="6" t="n"/>
    </row>
    <row r="56">
      <c r="A56" s="6" t="n"/>
      <c r="B56" s="6" t="n"/>
      <c r="C56" s="6" t="n"/>
      <c r="D56" s="6" t="n"/>
      <c r="E56" s="7" t="n"/>
      <c r="F56" s="6" t="n"/>
    </row>
    <row r="57">
      <c r="A57" s="6" t="n"/>
      <c r="B57" s="6" t="n"/>
      <c r="C57" s="6" t="n"/>
      <c r="D57" s="6" t="n"/>
      <c r="E57" s="7" t="n"/>
      <c r="F57" s="6" t="n"/>
    </row>
    <row r="58">
      <c r="A58" s="6" t="n"/>
      <c r="B58" s="6" t="n"/>
      <c r="C58" s="6" t="n"/>
      <c r="D58" s="6" t="n"/>
      <c r="E58" s="7" t="n"/>
      <c r="F58" s="6" t="n"/>
    </row>
    <row r="59">
      <c r="A59" s="6" t="n"/>
      <c r="B59" s="6" t="n"/>
      <c r="C59" s="6" t="n"/>
      <c r="D59" s="6" t="n"/>
      <c r="E59" s="7" t="n"/>
      <c r="F59" s="6" t="n"/>
    </row>
    <row r="60">
      <c r="A60" s="6" t="n"/>
      <c r="B60" s="6" t="n"/>
      <c r="C60" s="6" t="n"/>
      <c r="D60" s="6" t="n"/>
      <c r="E60" s="7" t="n"/>
      <c r="F60" s="6" t="n"/>
    </row>
    <row r="61">
      <c r="A61" s="6" t="n"/>
      <c r="B61" s="6" t="n"/>
      <c r="C61" s="6" t="n"/>
      <c r="D61" s="6" t="n"/>
      <c r="E61" s="7" t="n"/>
      <c r="F61" s="6" t="n"/>
    </row>
    <row r="62">
      <c r="A62" s="6" t="n"/>
      <c r="B62" s="6" t="n"/>
      <c r="C62" s="6" t="n"/>
      <c r="D62" s="6" t="n"/>
      <c r="E62" s="7" t="n"/>
      <c r="F62" s="6" t="n"/>
    </row>
    <row r="63">
      <c r="A63" s="6" t="n"/>
      <c r="B63" s="6" t="n"/>
      <c r="C63" s="6" t="n"/>
      <c r="D63" s="6" t="n"/>
      <c r="E63" s="7" t="n"/>
      <c r="F63" s="6" t="n"/>
    </row>
    <row r="64">
      <c r="A64" s="6" t="n"/>
      <c r="B64" s="6" t="n"/>
      <c r="C64" s="6" t="n"/>
      <c r="D64" s="6" t="n"/>
      <c r="E64" s="7" t="n"/>
      <c r="F64" s="6" t="n"/>
    </row>
    <row r="65">
      <c r="A65" s="6" t="n"/>
      <c r="B65" s="6" t="n"/>
      <c r="C65" s="6" t="n"/>
      <c r="D65" s="6" t="n"/>
      <c r="E65" s="7" t="n"/>
      <c r="F65" s="6" t="n"/>
    </row>
    <row r="66">
      <c r="A66" s="6" t="n"/>
      <c r="B66" s="6" t="n"/>
      <c r="C66" s="6" t="n"/>
      <c r="D66" s="6" t="n"/>
      <c r="E66" s="7" t="n"/>
      <c r="F66" s="6" t="n"/>
    </row>
    <row r="67">
      <c r="A67" s="6" t="n"/>
      <c r="B67" s="6" t="n"/>
      <c r="C67" s="6" t="n"/>
      <c r="D67" s="6" t="n"/>
      <c r="E67" s="7" t="n"/>
      <c r="F67" s="6" t="n"/>
    </row>
    <row r="68">
      <c r="A68" s="6" t="n"/>
      <c r="B68" s="6" t="n"/>
      <c r="C68" s="6" t="n"/>
      <c r="D68" s="6" t="n"/>
      <c r="E68" s="7" t="n"/>
      <c r="F68" s="6" t="n"/>
    </row>
    <row r="69">
      <c r="A69" s="6" t="n"/>
      <c r="B69" s="6" t="n"/>
      <c r="C69" s="6" t="n"/>
      <c r="D69" s="6" t="n"/>
      <c r="E69" s="7" t="n"/>
      <c r="F69" s="6" t="n"/>
    </row>
    <row r="70">
      <c r="A70" s="6" t="n"/>
      <c r="B70" s="6" t="n"/>
      <c r="C70" s="6" t="n"/>
      <c r="D70" s="6" t="n"/>
      <c r="E70" s="7" t="n"/>
      <c r="F70" s="6" t="n"/>
    </row>
    <row r="71">
      <c r="A71" s="6" t="n"/>
      <c r="B71" s="6" t="n"/>
      <c r="C71" s="6" t="n"/>
      <c r="D71" s="6" t="n"/>
      <c r="E71" s="7" t="n"/>
      <c r="F71" s="6" t="n"/>
    </row>
    <row r="72">
      <c r="A72" s="6" t="n"/>
      <c r="B72" s="6" t="n"/>
      <c r="C72" s="6" t="n"/>
      <c r="D72" s="6" t="n"/>
      <c r="E72" s="7" t="n"/>
      <c r="F72" s="6" t="n"/>
    </row>
    <row r="73">
      <c r="A73" s="6" t="n"/>
      <c r="B73" s="6" t="n"/>
      <c r="C73" s="6" t="n"/>
      <c r="D73" s="6" t="n"/>
      <c r="E73" s="7" t="n"/>
      <c r="F73" s="6" t="n"/>
    </row>
    <row r="74">
      <c r="A74" s="6" t="n"/>
      <c r="B74" s="6" t="n"/>
      <c r="C74" s="6" t="n"/>
      <c r="D74" s="6" t="n"/>
      <c r="E74" s="7" t="n"/>
      <c r="F74" s="6" t="n"/>
    </row>
    <row r="75">
      <c r="A75" s="6" t="n"/>
      <c r="B75" s="6" t="n"/>
      <c r="C75" s="6" t="n"/>
      <c r="D75" s="6" t="n"/>
      <c r="E75" s="7" t="n"/>
      <c r="F75" s="6" t="n"/>
    </row>
    <row r="76">
      <c r="A76" s="6" t="n"/>
      <c r="B76" s="6" t="n"/>
      <c r="C76" s="6" t="n"/>
      <c r="D76" s="6" t="n"/>
      <c r="E76" s="7" t="n"/>
      <c r="F76" s="6" t="n"/>
    </row>
    <row r="77">
      <c r="A77" s="6" t="n"/>
      <c r="B77" s="6" t="n"/>
      <c r="C77" s="6" t="n"/>
      <c r="D77" s="6" t="n"/>
      <c r="E77" s="7" t="n"/>
      <c r="F77" s="6" t="n"/>
    </row>
    <row r="78">
      <c r="A78" s="6" t="n"/>
      <c r="B78" s="6" t="n"/>
      <c r="C78" s="6" t="n"/>
      <c r="D78" s="6" t="n"/>
      <c r="E78" s="7" t="n"/>
      <c r="F78" s="6" t="n"/>
    </row>
    <row r="79">
      <c r="A79" s="6" t="n"/>
      <c r="B79" s="6" t="n"/>
      <c r="C79" s="6" t="n"/>
      <c r="D79" s="6" t="n"/>
      <c r="E79" s="7" t="n"/>
      <c r="F79" s="6" t="n"/>
    </row>
    <row r="80">
      <c r="A80" s="6" t="n"/>
      <c r="B80" s="6" t="n"/>
      <c r="C80" s="6" t="n"/>
      <c r="D80" s="6" t="n"/>
      <c r="E80" s="7" t="n"/>
      <c r="F80" s="6" t="n"/>
    </row>
    <row r="81">
      <c r="A81" s="6" t="n"/>
      <c r="B81" s="6" t="n"/>
      <c r="C81" s="6" t="n"/>
      <c r="D81" s="6" t="n"/>
      <c r="E81" s="7" t="n"/>
      <c r="F81" s="6" t="n"/>
    </row>
    <row r="82">
      <c r="A82" s="6" t="n"/>
      <c r="B82" s="6" t="n"/>
      <c r="C82" s="6" t="n"/>
      <c r="D82" s="6" t="n"/>
      <c r="E82" s="7" t="n"/>
      <c r="F82" s="6" t="n"/>
    </row>
    <row r="83">
      <c r="A83" s="6" t="n"/>
      <c r="B83" s="6" t="n"/>
      <c r="C83" s="6" t="n"/>
      <c r="D83" s="6" t="n"/>
      <c r="E83" s="7" t="n"/>
      <c r="F83" s="6" t="n"/>
    </row>
    <row r="84">
      <c r="A84" s="6" t="n"/>
      <c r="B84" s="6" t="n"/>
      <c r="C84" s="6" t="n"/>
      <c r="D84" s="6" t="n"/>
      <c r="E84" s="7" t="n"/>
      <c r="F84" s="6" t="n"/>
    </row>
    <row r="85">
      <c r="A85" s="6" t="n"/>
      <c r="B85" s="6" t="n"/>
      <c r="C85" s="6" t="n"/>
      <c r="D85" s="6" t="n"/>
      <c r="E85" s="7" t="n"/>
      <c r="F85" s="6" t="n"/>
    </row>
    <row r="86">
      <c r="A86" s="6" t="n"/>
      <c r="B86" s="6" t="n"/>
      <c r="C86" s="6" t="n"/>
      <c r="D86" s="6" t="n"/>
      <c r="E86" s="7" t="n"/>
      <c r="F86" s="6" t="n"/>
    </row>
    <row r="87">
      <c r="A87" s="6" t="n"/>
      <c r="B87" s="6" t="n"/>
      <c r="C87" s="6" t="n"/>
      <c r="D87" s="6" t="n"/>
      <c r="E87" s="7" t="n"/>
      <c r="F87" s="6" t="n"/>
    </row>
    <row r="88">
      <c r="A88" s="6" t="n"/>
      <c r="B88" s="6" t="n"/>
      <c r="C88" s="6" t="n"/>
      <c r="D88" s="6" t="n"/>
      <c r="E88" s="7" t="n"/>
      <c r="F88" s="6" t="n"/>
    </row>
    <row r="89">
      <c r="A89" s="6" t="n"/>
      <c r="B89" s="6" t="n"/>
      <c r="C89" s="6" t="n"/>
      <c r="D89" s="6" t="n"/>
      <c r="E89" s="7" t="n"/>
      <c r="F89" s="6" t="n"/>
    </row>
    <row r="90">
      <c r="A90" s="6" t="n"/>
      <c r="B90" s="6" t="n"/>
      <c r="C90" s="6" t="n"/>
      <c r="D90" s="6" t="n"/>
      <c r="E90" s="7" t="n"/>
      <c r="F90" s="6" t="n"/>
    </row>
    <row r="91">
      <c r="A91" s="6" t="n"/>
      <c r="B91" s="6" t="n"/>
      <c r="C91" s="6" t="n"/>
      <c r="D91" s="6" t="n"/>
      <c r="E91" s="7" t="n"/>
      <c r="F91" s="6" t="n"/>
    </row>
    <row r="92">
      <c r="A92" s="6" t="n"/>
      <c r="B92" s="6" t="n"/>
      <c r="C92" s="6" t="n"/>
      <c r="D92" s="6" t="n"/>
      <c r="E92" s="7" t="n"/>
      <c r="F92" s="6" t="n"/>
    </row>
    <row r="93">
      <c r="A93" s="6" t="n"/>
      <c r="B93" s="6" t="n"/>
      <c r="C93" s="6" t="n"/>
      <c r="D93" s="6" t="n"/>
      <c r="E93" s="7" t="n"/>
      <c r="F93" s="6" t="n"/>
    </row>
    <row r="94">
      <c r="A94" s="6" t="n"/>
      <c r="B94" s="6" t="n"/>
      <c r="C94" s="6" t="n"/>
      <c r="D94" s="6" t="n"/>
      <c r="E94" s="7" t="n"/>
      <c r="F94" s="6" t="n"/>
    </row>
    <row r="95">
      <c r="A95" s="6" t="n"/>
      <c r="B95" s="6" t="n"/>
      <c r="C95" s="6" t="n"/>
      <c r="D95" s="6" t="n"/>
      <c r="E95" s="7" t="n"/>
      <c r="F95" s="6" t="n"/>
    </row>
    <row r="96">
      <c r="A96" s="6" t="n"/>
      <c r="B96" s="6" t="n"/>
      <c r="C96" s="6" t="n"/>
      <c r="D96" s="6" t="n"/>
      <c r="E96" s="7" t="n"/>
      <c r="F96" s="6" t="n"/>
    </row>
    <row r="97">
      <c r="A97" s="6" t="n"/>
      <c r="B97" s="6" t="n"/>
      <c r="C97" s="6" t="n"/>
      <c r="D97" s="6" t="n"/>
      <c r="E97" s="7" t="n"/>
      <c r="F97" s="6" t="n"/>
    </row>
    <row r="98">
      <c r="A98" s="6" t="n"/>
      <c r="B98" s="6" t="n"/>
      <c r="C98" s="6" t="n"/>
      <c r="D98" s="6" t="n"/>
      <c r="E98" s="7" t="n"/>
      <c r="F98" s="6" t="n"/>
    </row>
    <row r="99">
      <c r="A99" s="6" t="n"/>
      <c r="B99" s="6" t="n"/>
      <c r="C99" s="6" t="n"/>
      <c r="D99" s="6" t="n"/>
      <c r="E99" s="7" t="n"/>
      <c r="F99" s="6" t="n"/>
    </row>
    <row r="100">
      <c r="A100" s="6" t="n"/>
      <c r="B100" s="6" t="n"/>
      <c r="C100" s="6" t="n"/>
      <c r="D100" s="6" t="n"/>
      <c r="E100" s="7" t="n"/>
      <c r="F100" s="6" t="n"/>
    </row>
    <row r="101">
      <c r="A101" s="6" t="n"/>
      <c r="B101" s="6" t="n"/>
      <c r="C101" s="6" t="n"/>
      <c r="D101" s="6" t="n"/>
      <c r="E101" s="7" t="n"/>
      <c r="F101" s="6" t="n"/>
    </row>
    <row r="102">
      <c r="A102" s="6" t="n"/>
      <c r="B102" s="6" t="n"/>
      <c r="C102" s="6" t="n"/>
      <c r="D102" s="6" t="n"/>
      <c r="E102" s="7" t="n"/>
      <c r="F102" s="6" t="n"/>
    </row>
    <row r="103">
      <c r="A103" s="6" t="n"/>
      <c r="B103" s="6" t="n"/>
      <c r="C103" s="6" t="n"/>
      <c r="D103" s="6" t="n"/>
      <c r="E103" s="7" t="n"/>
      <c r="F103" s="6" t="n"/>
    </row>
    <row r="104">
      <c r="A104" s="6" t="n"/>
      <c r="B104" s="6" t="n"/>
      <c r="C104" s="6" t="n"/>
      <c r="D104" s="6" t="n"/>
      <c r="E104" s="7" t="n"/>
      <c r="F104" s="6" t="n"/>
    </row>
    <row r="105">
      <c r="A105" s="6" t="n"/>
      <c r="B105" s="6" t="n"/>
      <c r="C105" s="6" t="n"/>
      <c r="D105" s="6" t="n"/>
      <c r="E105" s="7" t="n"/>
      <c r="F105" s="6" t="n"/>
    </row>
    <row r="106">
      <c r="A106" s="6" t="n"/>
      <c r="B106" s="6" t="n"/>
      <c r="C106" s="6" t="n"/>
      <c r="D106" s="6" t="n"/>
      <c r="E106" s="7" t="n"/>
      <c r="F106" s="6" t="n"/>
    </row>
    <row r="107">
      <c r="A107" s="6" t="n"/>
      <c r="B107" s="6" t="n"/>
      <c r="C107" s="6" t="n"/>
      <c r="D107" s="6" t="n"/>
      <c r="E107" s="7" t="n"/>
      <c r="F107" s="6" t="n"/>
    </row>
    <row r="108">
      <c r="A108" s="6" t="n"/>
      <c r="B108" s="6" t="n"/>
      <c r="C108" s="6" t="n"/>
      <c r="D108" s="6" t="n"/>
      <c r="E108" s="7" t="n"/>
      <c r="F108" s="6" t="n"/>
    </row>
    <row r="109">
      <c r="A109" s="6" t="n"/>
      <c r="B109" s="6" t="n"/>
      <c r="C109" s="6" t="n"/>
      <c r="D109" s="6" t="n"/>
      <c r="E109" s="7" t="n"/>
      <c r="F109" s="6" t="n"/>
    </row>
    <row r="110">
      <c r="A110" s="6" t="n"/>
      <c r="B110" s="6" t="n"/>
      <c r="C110" s="6" t="n"/>
      <c r="D110" s="6" t="n"/>
      <c r="E110" s="7" t="n"/>
      <c r="F110" s="6" t="n"/>
    </row>
    <row r="111">
      <c r="A111" s="6" t="n"/>
      <c r="B111" s="6" t="n"/>
      <c r="C111" s="6" t="n"/>
      <c r="D111" s="6" t="n"/>
      <c r="E111" s="7" t="n"/>
      <c r="F111" s="6" t="n"/>
    </row>
    <row r="112">
      <c r="A112" s="6" t="n"/>
      <c r="B112" s="6" t="n"/>
      <c r="C112" s="6" t="n"/>
      <c r="D112" s="6" t="n"/>
      <c r="E112" s="7" t="n"/>
      <c r="F112" s="6" t="n"/>
    </row>
    <row r="113">
      <c r="A113" s="6" t="n"/>
      <c r="B113" s="6" t="n"/>
      <c r="C113" s="6" t="n"/>
      <c r="D113" s="6" t="n"/>
      <c r="E113" s="7" t="n"/>
      <c r="F113" s="6" t="n"/>
    </row>
    <row r="114">
      <c r="A114" s="6" t="n"/>
      <c r="B114" s="6" t="n"/>
      <c r="C114" s="6" t="n"/>
      <c r="D114" s="6" t="n"/>
      <c r="E114" s="7" t="n"/>
      <c r="F114" s="6" t="n"/>
    </row>
    <row r="115">
      <c r="A115" s="6" t="n"/>
      <c r="B115" s="6" t="n"/>
      <c r="C115" s="6" t="n"/>
      <c r="D115" s="6" t="n"/>
      <c r="E115" s="7" t="n"/>
      <c r="F115" s="6" t="n"/>
    </row>
    <row r="116">
      <c r="A116" s="6" t="n"/>
      <c r="B116" s="6" t="n"/>
      <c r="C116" s="6" t="n"/>
      <c r="D116" s="6" t="n"/>
      <c r="E116" s="7" t="n"/>
      <c r="F116" s="6" t="n"/>
    </row>
    <row r="117">
      <c r="A117" s="6" t="n"/>
      <c r="B117" s="6" t="n"/>
      <c r="C117" s="6" t="n"/>
      <c r="D117" s="6" t="n"/>
      <c r="E117" s="7" t="n"/>
      <c r="F117" s="6" t="n"/>
    </row>
    <row r="118">
      <c r="A118" s="6" t="n"/>
      <c r="B118" s="6" t="n"/>
      <c r="C118" s="6" t="n"/>
      <c r="D118" s="6" t="n"/>
      <c r="E118" s="7" t="n"/>
      <c r="F118" s="6" t="n"/>
    </row>
    <row r="119">
      <c r="A119" s="6" t="n"/>
      <c r="B119" s="6" t="n"/>
      <c r="C119" s="6" t="n"/>
      <c r="D119" s="6" t="n"/>
      <c r="E119" s="7" t="n"/>
      <c r="F119" s="6" t="n"/>
    </row>
    <row r="120">
      <c r="A120" s="6" t="n"/>
      <c r="B120" s="6" t="n"/>
      <c r="C120" s="6" t="n"/>
      <c r="D120" s="6" t="n"/>
      <c r="E120" s="7" t="n"/>
      <c r="F120" s="6" t="n"/>
    </row>
    <row r="121">
      <c r="A121" s="6" t="n"/>
      <c r="B121" s="6" t="n"/>
      <c r="C121" s="6" t="n"/>
      <c r="D121" s="6" t="n"/>
      <c r="E121" s="7" t="n"/>
      <c r="F121" s="6" t="n"/>
    </row>
    <row r="122">
      <c r="A122" s="6" t="n"/>
      <c r="B122" s="6" t="n"/>
      <c r="C122" s="6" t="n"/>
      <c r="D122" s="6" t="n"/>
      <c r="E122" s="7" t="n"/>
      <c r="F122" s="6" t="n"/>
    </row>
    <row r="123">
      <c r="A123" s="6" t="n"/>
      <c r="B123" s="6" t="n"/>
      <c r="C123" s="6" t="n"/>
      <c r="D123" s="6" t="n"/>
      <c r="E123" s="7" t="n"/>
      <c r="F123" s="6" t="n"/>
    </row>
    <row r="124">
      <c r="A124" s="6" t="n"/>
      <c r="B124" s="6" t="n"/>
      <c r="C124" s="6" t="n"/>
      <c r="D124" s="6" t="n"/>
      <c r="E124" s="7" t="n"/>
      <c r="F124" s="6" t="n"/>
    </row>
    <row r="125">
      <c r="A125" s="6" t="n"/>
      <c r="B125" s="6" t="n"/>
      <c r="C125" s="6" t="n"/>
      <c r="D125" s="6" t="n"/>
      <c r="E125" s="7" t="n"/>
      <c r="F125" s="6" t="n"/>
    </row>
    <row r="126">
      <c r="A126" s="6" t="n"/>
      <c r="B126" s="6" t="n"/>
      <c r="C126" s="6" t="n"/>
      <c r="D126" s="6" t="n"/>
      <c r="E126" s="7" t="n"/>
      <c r="F126" s="6" t="n"/>
    </row>
    <row r="127">
      <c r="A127" s="6" t="n"/>
      <c r="B127" s="6" t="n"/>
      <c r="C127" s="6" t="n"/>
      <c r="D127" s="6" t="n"/>
      <c r="E127" s="7" t="n"/>
      <c r="F127" s="6" t="n"/>
    </row>
    <row r="128">
      <c r="A128" s="6" t="n"/>
      <c r="B128" s="6" t="n"/>
      <c r="C128" s="6" t="n"/>
      <c r="D128" s="6" t="n"/>
      <c r="E128" s="7" t="n"/>
      <c r="F128" s="6" t="n"/>
    </row>
    <row r="129">
      <c r="A129" s="6" t="n"/>
      <c r="B129" s="6" t="n"/>
      <c r="C129" s="6" t="n"/>
      <c r="D129" s="6" t="n"/>
      <c r="E129" s="7" t="n"/>
      <c r="F129" s="6" t="n"/>
    </row>
    <row r="130">
      <c r="A130" s="6" t="n"/>
      <c r="B130" s="6" t="n"/>
      <c r="C130" s="6" t="n"/>
      <c r="D130" s="6" t="n"/>
      <c r="E130" s="7" t="n"/>
      <c r="F130" s="6" t="n"/>
    </row>
    <row r="131">
      <c r="A131" s="6" t="n"/>
      <c r="B131" s="6" t="n"/>
      <c r="C131" s="6" t="n"/>
      <c r="D131" s="6" t="n"/>
      <c r="E131" s="7" t="n"/>
      <c r="F131" s="6" t="n"/>
    </row>
    <row r="132">
      <c r="A132" s="6" t="n"/>
      <c r="B132" s="6" t="n"/>
      <c r="C132" s="6" t="n"/>
      <c r="D132" s="6" t="n"/>
      <c r="E132" s="7" t="n"/>
      <c r="F132" s="6" t="n"/>
    </row>
    <row r="133">
      <c r="A133" s="6" t="n"/>
      <c r="B133" s="6" t="n"/>
      <c r="C133" s="6" t="n"/>
      <c r="D133" s="6" t="n"/>
      <c r="E133" s="7" t="n"/>
      <c r="F133" s="6" t="n"/>
    </row>
    <row r="134">
      <c r="A134" s="6" t="n"/>
      <c r="B134" s="6" t="n"/>
      <c r="C134" s="6" t="n"/>
      <c r="D134" s="6" t="n"/>
      <c r="E134" s="7" t="n"/>
      <c r="F134" s="6" t="n"/>
    </row>
    <row r="135">
      <c r="A135" s="6" t="n"/>
      <c r="B135" s="6" t="n"/>
      <c r="C135" s="6" t="n"/>
      <c r="D135" s="6" t="n"/>
      <c r="E135" s="7" t="n"/>
      <c r="F135" s="6" t="n"/>
    </row>
    <row r="136">
      <c r="A136" s="6" t="n"/>
      <c r="B136" s="6" t="n"/>
      <c r="C136" s="6" t="n"/>
      <c r="D136" s="6" t="n"/>
      <c r="E136" s="7" t="n"/>
      <c r="F136" s="6" t="n"/>
    </row>
    <row r="137">
      <c r="A137" s="6" t="n"/>
      <c r="B137" s="6" t="n"/>
      <c r="C137" s="6" t="n"/>
      <c r="D137" s="6" t="n"/>
      <c r="E137" s="7" t="n"/>
      <c r="F137" s="6" t="n"/>
    </row>
    <row r="138">
      <c r="A138" s="6" t="n"/>
      <c r="B138" s="6" t="n"/>
      <c r="C138" s="6" t="n"/>
      <c r="D138" s="6" t="n"/>
      <c r="E138" s="7" t="n"/>
      <c r="F138" s="6" t="n"/>
    </row>
    <row r="139">
      <c r="A139" s="6" t="n"/>
      <c r="B139" s="6" t="n"/>
      <c r="C139" s="6" t="n"/>
      <c r="D139" s="6" t="n"/>
      <c r="E139" s="7" t="n"/>
      <c r="F139" s="6" t="n"/>
    </row>
    <row r="140">
      <c r="A140" s="6" t="n"/>
      <c r="B140" s="6" t="n"/>
      <c r="C140" s="6" t="n"/>
      <c r="D140" s="6" t="n"/>
      <c r="E140" s="7" t="n"/>
      <c r="F140" s="6" t="n"/>
    </row>
    <row r="141">
      <c r="A141" s="6" t="n"/>
      <c r="B141" s="6" t="n"/>
      <c r="C141" s="6" t="n"/>
      <c r="D141" s="6" t="n"/>
      <c r="E141" s="7" t="n"/>
      <c r="F141" s="6" t="n"/>
    </row>
    <row r="142">
      <c r="A142" s="6" t="n"/>
      <c r="B142" s="6" t="n"/>
      <c r="C142" s="6" t="n"/>
      <c r="D142" s="6" t="n"/>
      <c r="E142" s="7" t="n"/>
      <c r="F142" s="6" t="n"/>
    </row>
    <row r="143">
      <c r="A143" s="6" t="n"/>
      <c r="B143" s="6" t="n"/>
      <c r="C143" s="6" t="n"/>
      <c r="D143" s="6" t="n"/>
      <c r="E143" s="7" t="n"/>
      <c r="F143" s="6" t="n"/>
    </row>
    <row r="144">
      <c r="A144" s="6" t="n"/>
      <c r="B144" s="6" t="n"/>
      <c r="C144" s="6" t="n"/>
      <c r="D144" s="6" t="n"/>
      <c r="E144" s="7" t="n"/>
      <c r="F144" s="6" t="n"/>
    </row>
    <row r="145">
      <c r="A145" s="6" t="n"/>
      <c r="B145" s="6" t="n"/>
      <c r="C145" s="6" t="n"/>
      <c r="D145" s="6" t="n"/>
      <c r="E145" s="7" t="n"/>
      <c r="F145" s="6" t="n"/>
    </row>
    <row r="146">
      <c r="A146" s="6" t="n"/>
      <c r="B146" s="6" t="n"/>
      <c r="C146" s="6" t="n"/>
      <c r="D146" s="6" t="n"/>
      <c r="E146" s="7" t="n"/>
      <c r="F146" s="6" t="n"/>
    </row>
    <row r="147">
      <c r="A147" s="6" t="n"/>
      <c r="B147" s="6" t="n"/>
      <c r="C147" s="6" t="n"/>
      <c r="D147" s="6" t="n"/>
      <c r="E147" s="7" t="n"/>
      <c r="F147" s="6" t="n"/>
    </row>
    <row r="148">
      <c r="A148" s="6" t="n"/>
      <c r="B148" s="6" t="n"/>
      <c r="C148" s="6" t="n"/>
      <c r="D148" s="6" t="n"/>
      <c r="E148" s="7" t="n"/>
      <c r="F148" s="6" t="n"/>
    </row>
    <row r="149">
      <c r="A149" s="6" t="n"/>
      <c r="B149" s="6" t="n"/>
      <c r="C149" s="6" t="n"/>
      <c r="D149" s="6" t="n"/>
      <c r="E149" s="7" t="n"/>
      <c r="F149" s="6" t="n"/>
    </row>
    <row r="150">
      <c r="A150" s="6" t="n"/>
      <c r="B150" s="6" t="n"/>
      <c r="C150" s="6" t="n"/>
      <c r="D150" s="6" t="n"/>
      <c r="E150" s="7" t="n"/>
      <c r="F150" s="6" t="n"/>
    </row>
    <row r="151">
      <c r="A151" s="6" t="n"/>
      <c r="B151" s="6" t="n"/>
      <c r="C151" s="6" t="n"/>
      <c r="D151" s="6" t="n"/>
      <c r="E151" s="7" t="n"/>
      <c r="F151" s="6" t="n"/>
    </row>
    <row r="152">
      <c r="A152" s="6" t="n"/>
      <c r="B152" s="6" t="n"/>
      <c r="C152" s="6" t="n"/>
      <c r="D152" s="6" t="n"/>
      <c r="E152" s="7" t="n"/>
      <c r="F152" s="6" t="n"/>
    </row>
    <row r="153">
      <c r="A153" s="6" t="n"/>
      <c r="B153" s="6" t="n"/>
      <c r="C153" s="6" t="n"/>
      <c r="D153" s="6" t="n"/>
      <c r="E153" s="7" t="n"/>
      <c r="F153" s="6" t="n"/>
    </row>
    <row r="154">
      <c r="A154" s="6" t="n"/>
      <c r="B154" s="6" t="n"/>
      <c r="C154" s="6" t="n"/>
      <c r="D154" s="6" t="n"/>
      <c r="E154" s="7" t="n"/>
      <c r="F154" s="6" t="n"/>
    </row>
    <row r="155">
      <c r="A155" s="6" t="n"/>
      <c r="B155" s="6" t="n"/>
      <c r="C155" s="6" t="n"/>
      <c r="D155" s="6" t="n"/>
      <c r="E155" s="7" t="n"/>
      <c r="F155" s="6" t="n"/>
    </row>
    <row r="156">
      <c r="A156" s="6" t="n"/>
      <c r="B156" s="6" t="n"/>
      <c r="C156" s="6" t="n"/>
      <c r="D156" s="6" t="n"/>
      <c r="E156" s="7" t="n"/>
      <c r="F156" s="6" t="n"/>
    </row>
    <row r="157">
      <c r="A157" s="6" t="n"/>
      <c r="B157" s="6" t="n"/>
      <c r="C157" s="6" t="n"/>
      <c r="D157" s="6" t="n"/>
      <c r="E157" s="7" t="n"/>
      <c r="F157" s="6" t="n"/>
    </row>
    <row r="158">
      <c r="A158" s="6" t="n"/>
      <c r="B158" s="6" t="n"/>
      <c r="C158" s="6" t="n"/>
      <c r="D158" s="6" t="n"/>
      <c r="E158" s="7" t="n"/>
      <c r="F158" s="6" t="n"/>
    </row>
    <row r="159">
      <c r="A159" s="6" t="n"/>
      <c r="B159" s="6" t="n"/>
      <c r="C159" s="6" t="n"/>
      <c r="D159" s="6" t="n"/>
      <c r="E159" s="7" t="n"/>
      <c r="F159" s="6" t="n"/>
    </row>
    <row r="160">
      <c r="A160" s="6" t="n"/>
      <c r="B160" s="6" t="n"/>
      <c r="C160" s="6" t="n"/>
      <c r="D160" s="6" t="n"/>
      <c r="E160" s="7" t="n"/>
      <c r="F160" s="6" t="n"/>
    </row>
    <row r="161">
      <c r="A161" s="6" t="n"/>
      <c r="B161" s="6" t="n"/>
      <c r="C161" s="6" t="n"/>
      <c r="D161" s="6" t="n"/>
      <c r="E161" s="7" t="n"/>
      <c r="F161" s="6" t="n"/>
    </row>
    <row r="162">
      <c r="A162" s="6" t="n"/>
      <c r="B162" s="6" t="n"/>
      <c r="C162" s="6" t="n"/>
      <c r="D162" s="6" t="n"/>
      <c r="E162" s="7" t="n"/>
      <c r="F162" s="6" t="n"/>
    </row>
    <row r="163">
      <c r="A163" s="6" t="n"/>
      <c r="B163" s="6" t="n"/>
      <c r="C163" s="6" t="n"/>
      <c r="D163" s="6" t="n"/>
      <c r="E163" s="7" t="n"/>
      <c r="F163" s="6" t="n"/>
    </row>
    <row r="164">
      <c r="A164" s="6" t="n"/>
      <c r="B164" s="6" t="n"/>
      <c r="C164" s="6" t="n"/>
      <c r="D164" s="6" t="n"/>
      <c r="E164" s="7" t="n"/>
      <c r="F164" s="6" t="n"/>
    </row>
    <row r="165">
      <c r="A165" s="6" t="n"/>
      <c r="B165" s="6" t="n"/>
      <c r="C165" s="6" t="n"/>
      <c r="D165" s="6" t="n"/>
      <c r="E165" s="7" t="n"/>
      <c r="F165" s="6" t="n"/>
    </row>
    <row r="166">
      <c r="A166" s="6" t="n"/>
      <c r="B166" s="6" t="n"/>
      <c r="C166" s="6" t="n"/>
      <c r="D166" s="6" t="n"/>
      <c r="E166" s="7" t="n"/>
      <c r="F166" s="6" t="n"/>
    </row>
    <row r="167">
      <c r="A167" s="6" t="n"/>
      <c r="B167" s="6" t="n"/>
      <c r="C167" s="6" t="n"/>
      <c r="D167" s="6" t="n"/>
      <c r="E167" s="7" t="n"/>
      <c r="F167" s="6" t="n"/>
    </row>
    <row r="168">
      <c r="A168" s="6" t="n"/>
      <c r="B168" s="6" t="n"/>
      <c r="C168" s="6" t="n"/>
      <c r="D168" s="6" t="n"/>
      <c r="E168" s="7" t="n"/>
      <c r="F168" s="6" t="n"/>
    </row>
    <row r="169">
      <c r="A169" s="6" t="n"/>
      <c r="B169" s="6" t="n"/>
      <c r="C169" s="6" t="n"/>
      <c r="D169" s="6" t="n"/>
      <c r="E169" s="7" t="n"/>
      <c r="F169" s="6" t="n"/>
    </row>
    <row r="170">
      <c r="A170" s="6" t="n"/>
      <c r="B170" s="6" t="n"/>
      <c r="C170" s="6" t="n"/>
      <c r="D170" s="6" t="n"/>
      <c r="E170" s="7" t="n"/>
      <c r="F170" s="6" t="n"/>
    </row>
    <row r="171">
      <c r="A171" s="6" t="n"/>
      <c r="B171" s="6" t="n"/>
      <c r="C171" s="6" t="n"/>
      <c r="D171" s="6" t="n"/>
      <c r="E171" s="7" t="n"/>
      <c r="F171" s="6" t="n"/>
    </row>
    <row r="172">
      <c r="A172" s="6" t="n"/>
      <c r="B172" s="6" t="n"/>
      <c r="C172" s="6" t="n"/>
      <c r="D172" s="6" t="n"/>
      <c r="E172" s="7" t="n"/>
      <c r="F172" s="6" t="n"/>
    </row>
    <row r="173">
      <c r="A173" s="6" t="n"/>
      <c r="B173" s="6" t="n"/>
      <c r="C173" s="6" t="n"/>
      <c r="D173" s="6" t="n"/>
      <c r="E173" s="7" t="n"/>
      <c r="F173" s="6" t="n"/>
    </row>
    <row r="174">
      <c r="A174" s="6" t="n"/>
      <c r="B174" s="6" t="n"/>
      <c r="C174" s="6" t="n"/>
      <c r="D174" s="6" t="n"/>
      <c r="E174" s="7" t="n"/>
      <c r="F174" s="6" t="n"/>
    </row>
    <row r="175">
      <c r="A175" s="6" t="n"/>
      <c r="B175" s="6" t="n"/>
      <c r="C175" s="6" t="n"/>
      <c r="D175" s="6" t="n"/>
      <c r="E175" s="7" t="n"/>
      <c r="F175" s="6" t="n"/>
    </row>
    <row r="176">
      <c r="A176" s="6" t="n"/>
      <c r="B176" s="6" t="n"/>
      <c r="C176" s="6" t="n"/>
      <c r="D176" s="6" t="n"/>
      <c r="E176" s="7" t="n"/>
      <c r="F176" s="6" t="n"/>
    </row>
    <row r="177">
      <c r="A177" s="6" t="n"/>
      <c r="B177" s="6" t="n"/>
      <c r="C177" s="6" t="n"/>
      <c r="D177" s="6" t="n"/>
      <c r="E177" s="7" t="n"/>
      <c r="F177" s="6" t="n"/>
    </row>
    <row r="178">
      <c r="A178" s="6" t="n"/>
      <c r="B178" s="6" t="n"/>
      <c r="C178" s="6" t="n"/>
      <c r="D178" s="6" t="n"/>
      <c r="E178" s="7" t="n"/>
      <c r="F178" s="6" t="n"/>
    </row>
    <row r="179">
      <c r="A179" s="6" t="n"/>
      <c r="B179" s="6" t="n"/>
      <c r="C179" s="6" t="n"/>
      <c r="D179" s="6" t="n"/>
      <c r="E179" s="7" t="n"/>
      <c r="F179" s="6" t="n"/>
    </row>
    <row r="180">
      <c r="A180" s="6" t="n"/>
      <c r="B180" s="6" t="n"/>
      <c r="C180" s="6" t="n"/>
      <c r="D180" s="6" t="n"/>
      <c r="E180" s="7" t="n"/>
      <c r="F180" s="6" t="n"/>
    </row>
    <row r="181">
      <c r="A181" s="6" t="n"/>
      <c r="B181" s="6" t="n"/>
      <c r="C181" s="6" t="n"/>
      <c r="D181" s="6" t="n"/>
      <c r="E181" s="7" t="n"/>
      <c r="F181" s="6" t="n"/>
    </row>
    <row r="182">
      <c r="A182" s="6" t="n"/>
      <c r="B182" s="6" t="n"/>
      <c r="C182" s="6" t="n"/>
      <c r="D182" s="6" t="n"/>
      <c r="E182" s="7" t="n"/>
      <c r="F182" s="6" t="n"/>
    </row>
    <row r="183">
      <c r="A183" s="6" t="n"/>
      <c r="B183" s="6" t="n"/>
      <c r="C183" s="6" t="n"/>
      <c r="D183" s="6" t="n"/>
      <c r="E183" s="7" t="n"/>
      <c r="F183" s="6" t="n"/>
    </row>
    <row r="184">
      <c r="A184" s="6" t="n"/>
      <c r="B184" s="6" t="n"/>
      <c r="C184" s="6" t="n"/>
      <c r="D184" s="6" t="n"/>
      <c r="E184" s="7" t="n"/>
      <c r="F184" s="6" t="n"/>
    </row>
    <row r="185">
      <c r="A185" s="6" t="n"/>
      <c r="B185" s="6" t="n"/>
      <c r="C185" s="6" t="n"/>
      <c r="D185" s="6" t="n"/>
      <c r="E185" s="7" t="n"/>
      <c r="F185" s="6" t="n"/>
    </row>
    <row r="186">
      <c r="A186" s="6" t="n"/>
      <c r="B186" s="6" t="n"/>
      <c r="C186" s="6" t="n"/>
      <c r="D186" s="6" t="n"/>
      <c r="E186" s="7" t="n"/>
      <c r="F186" s="6" t="n"/>
    </row>
    <row r="187">
      <c r="A187" s="6" t="n"/>
      <c r="B187" s="6" t="n"/>
      <c r="C187" s="6" t="n"/>
      <c r="D187" s="6" t="n"/>
      <c r="E187" s="7" t="n"/>
      <c r="F187" s="6" t="n"/>
    </row>
    <row r="188">
      <c r="A188" s="6" t="n"/>
      <c r="B188" s="6" t="n"/>
      <c r="C188" s="6" t="n"/>
      <c r="D188" s="6" t="n"/>
      <c r="E188" s="7" t="n"/>
      <c r="F188" s="6" t="n"/>
    </row>
    <row r="189">
      <c r="A189" s="6" t="n"/>
      <c r="B189" s="6" t="n"/>
      <c r="C189" s="6" t="n"/>
      <c r="D189" s="6" t="n"/>
      <c r="E189" s="7" t="n"/>
      <c r="F189" s="6" t="n"/>
    </row>
    <row r="190">
      <c r="A190" s="6" t="n"/>
      <c r="B190" s="6" t="n"/>
      <c r="C190" s="6" t="n"/>
      <c r="D190" s="6" t="n"/>
      <c r="E190" s="7" t="n"/>
      <c r="F190" s="6" t="n"/>
    </row>
    <row r="191">
      <c r="A191" s="6" t="n"/>
      <c r="B191" s="6" t="n"/>
      <c r="C191" s="6" t="n"/>
      <c r="D191" s="6" t="n"/>
      <c r="E191" s="7" t="n"/>
      <c r="F191" s="6" t="n"/>
    </row>
    <row r="192">
      <c r="A192" s="6" t="n"/>
      <c r="B192" s="6" t="n"/>
      <c r="C192" s="6" t="n"/>
      <c r="D192" s="6" t="n"/>
      <c r="E192" s="7" t="n"/>
      <c r="F192" s="6" t="n"/>
    </row>
    <row r="193">
      <c r="A193" s="6" t="n"/>
      <c r="B193" s="6" t="n"/>
      <c r="C193" s="6" t="n"/>
      <c r="D193" s="6" t="n"/>
      <c r="E193" s="7" t="n"/>
      <c r="F193" s="6" t="n"/>
    </row>
    <row r="194">
      <c r="A194" s="6" t="n"/>
      <c r="B194" s="6" t="n"/>
      <c r="C194" s="6" t="n"/>
      <c r="D194" s="6" t="n"/>
      <c r="E194" s="7" t="n"/>
      <c r="F194" s="6" t="n"/>
    </row>
    <row r="195">
      <c r="A195" s="6" t="n"/>
      <c r="B195" s="6" t="n"/>
      <c r="C195" s="6" t="n"/>
      <c r="D195" s="6" t="n"/>
      <c r="E195" s="7" t="n"/>
      <c r="F195" s="6" t="n"/>
    </row>
    <row r="196">
      <c r="A196" s="6" t="n"/>
      <c r="B196" s="6" t="n"/>
      <c r="C196" s="6" t="n"/>
      <c r="D196" s="6" t="n"/>
      <c r="E196" s="7" t="n"/>
      <c r="F196" s="6" t="n"/>
    </row>
    <row r="197">
      <c r="A197" s="6" t="n"/>
      <c r="B197" s="6" t="n"/>
      <c r="C197" s="6" t="n"/>
      <c r="D197" s="6" t="n"/>
      <c r="E197" s="7" t="n"/>
      <c r="F197" s="6" t="n"/>
    </row>
    <row r="198">
      <c r="A198" s="6" t="n"/>
      <c r="B198" s="6" t="n"/>
      <c r="C198" s="6" t="n"/>
      <c r="D198" s="6" t="n"/>
      <c r="E198" s="7" t="n"/>
      <c r="F198" s="6" t="n"/>
    </row>
    <row r="199">
      <c r="A199" s="6" t="n"/>
      <c r="B199" s="6" t="n"/>
      <c r="C199" s="6" t="n"/>
      <c r="D199" s="6" t="n"/>
      <c r="E199" s="7" t="n"/>
      <c r="F199" s="6" t="n"/>
    </row>
    <row r="200">
      <c r="A200" s="6" t="n"/>
      <c r="B200" s="6" t="n"/>
      <c r="C200" s="6" t="n"/>
      <c r="D200" s="6" t="n"/>
      <c r="E200" s="7" t="n"/>
      <c r="F200" s="6" t="n"/>
    </row>
    <row r="201">
      <c r="A201" s="6" t="n"/>
      <c r="B201" s="6" t="n"/>
      <c r="C201" s="6" t="n"/>
      <c r="D201" s="6" t="n"/>
      <c r="E201" s="7" t="n"/>
      <c r="F201" s="6" t="n"/>
    </row>
    <row r="202">
      <c r="A202" s="6" t="n"/>
      <c r="B202" s="6" t="n"/>
      <c r="C202" s="6" t="n"/>
      <c r="D202" s="6" t="n"/>
      <c r="E202" s="7" t="n"/>
      <c r="F202" s="6" t="n"/>
    </row>
    <row r="203">
      <c r="A203" s="6" t="n"/>
      <c r="B203" s="6" t="n"/>
      <c r="C203" s="6" t="n"/>
      <c r="D203" s="6" t="n"/>
      <c r="E203" s="7" t="n"/>
      <c r="F203" s="6" t="n"/>
    </row>
    <row r="204">
      <c r="A204" s="6" t="n"/>
      <c r="B204" s="6" t="n"/>
      <c r="C204" s="6" t="n"/>
      <c r="D204" s="6" t="n"/>
      <c r="E204" s="7" t="n"/>
      <c r="F204" s="6" t="n"/>
    </row>
    <row r="205">
      <c r="A205" s="6" t="n"/>
      <c r="B205" s="6" t="n"/>
      <c r="C205" s="6" t="n"/>
      <c r="D205" s="6" t="n"/>
      <c r="E205" s="7" t="n"/>
      <c r="F205" s="6" t="n"/>
    </row>
    <row r="206">
      <c r="A206" s="6" t="n"/>
      <c r="B206" s="6" t="n"/>
      <c r="C206" s="6" t="n"/>
      <c r="D206" s="6" t="n"/>
      <c r="E206" s="7" t="n"/>
      <c r="F206" s="6" t="n"/>
    </row>
    <row r="207">
      <c r="A207" s="6" t="n"/>
      <c r="B207" s="6" t="n"/>
      <c r="C207" s="6" t="n"/>
      <c r="D207" s="6" t="n"/>
      <c r="E207" s="7" t="n"/>
      <c r="F207" s="6" t="n"/>
    </row>
    <row r="208">
      <c r="A208" s="6" t="n"/>
      <c r="B208" s="6" t="n"/>
      <c r="C208" s="6" t="n"/>
      <c r="D208" s="6" t="n"/>
      <c r="E208" s="7" t="n"/>
      <c r="F208" s="6" t="n"/>
    </row>
    <row r="209">
      <c r="A209" s="6" t="n"/>
      <c r="B209" s="6" t="n"/>
      <c r="C209" s="6" t="n"/>
      <c r="D209" s="6" t="n"/>
      <c r="E209" s="7" t="n"/>
      <c r="F209" s="6" t="n"/>
    </row>
    <row r="210">
      <c r="A210" s="6" t="n"/>
      <c r="B210" s="6" t="n"/>
      <c r="C210" s="6" t="n"/>
      <c r="D210" s="6" t="n"/>
      <c r="E210" s="7" t="n"/>
      <c r="F210" s="6" t="n"/>
    </row>
    <row r="211">
      <c r="A211" s="6" t="n"/>
      <c r="B211" s="6" t="n"/>
      <c r="C211" s="6" t="n"/>
      <c r="D211" s="6" t="n"/>
      <c r="E211" s="7" t="n"/>
      <c r="F211" s="6" t="n"/>
    </row>
    <row r="212">
      <c r="A212" s="6" t="n"/>
      <c r="B212" s="6" t="n"/>
      <c r="C212" s="6" t="n"/>
      <c r="D212" s="6" t="n"/>
      <c r="E212" s="7" t="n"/>
      <c r="F212" s="6" t="n"/>
    </row>
    <row r="213">
      <c r="A213" s="6" t="n"/>
      <c r="B213" s="6" t="n"/>
      <c r="C213" s="6" t="n"/>
      <c r="D213" s="6" t="n"/>
      <c r="E213" s="7" t="n"/>
      <c r="F213" s="6" t="n"/>
    </row>
    <row r="214">
      <c r="A214" s="6" t="n"/>
      <c r="B214" s="6" t="n"/>
      <c r="C214" s="6" t="n"/>
      <c r="D214" s="6" t="n"/>
      <c r="E214" s="7" t="n"/>
      <c r="F214" s="6" t="n"/>
    </row>
    <row r="215">
      <c r="A215" s="6" t="n"/>
      <c r="B215" s="6" t="n"/>
      <c r="C215" s="6" t="n"/>
      <c r="D215" s="6" t="n"/>
      <c r="E215" s="7" t="n"/>
      <c r="F215" s="6" t="n"/>
    </row>
    <row r="216">
      <c r="A216" s="6" t="n"/>
      <c r="B216" s="6" t="n"/>
      <c r="C216" s="6" t="n"/>
      <c r="D216" s="6" t="n"/>
      <c r="E216" s="7" t="n"/>
      <c r="F216" s="6" t="n"/>
    </row>
    <row r="217">
      <c r="A217" s="6" t="n"/>
      <c r="B217" s="6" t="n"/>
      <c r="C217" s="6" t="n"/>
      <c r="D217" s="6" t="n"/>
      <c r="E217" s="7" t="n"/>
      <c r="F217" s="6" t="n"/>
    </row>
    <row r="218">
      <c r="A218" s="6" t="n"/>
      <c r="B218" s="6" t="n"/>
      <c r="C218" s="6" t="n"/>
      <c r="D218" s="6" t="n"/>
      <c r="E218" s="7" t="n"/>
      <c r="F218" s="6" t="n"/>
    </row>
    <row r="219">
      <c r="A219" s="6" t="n"/>
      <c r="B219" s="6" t="n"/>
      <c r="C219" s="6" t="n"/>
      <c r="D219" s="6" t="n"/>
      <c r="E219" s="7" t="n"/>
      <c r="F219" s="6" t="n"/>
    </row>
    <row r="220">
      <c r="A220" s="6" t="n"/>
      <c r="B220" s="6" t="n"/>
      <c r="C220" s="6" t="n"/>
      <c r="D220" s="6" t="n"/>
      <c r="E220" s="7" t="n"/>
      <c r="F220" s="6" t="n"/>
    </row>
    <row r="221">
      <c r="A221" s="6" t="n"/>
      <c r="B221" s="6" t="n"/>
      <c r="C221" s="6" t="n"/>
      <c r="D221" s="6" t="n"/>
      <c r="E221" s="7" t="n"/>
      <c r="F221" s="6" t="n"/>
    </row>
    <row r="222">
      <c r="A222" s="6" t="n"/>
      <c r="B222" s="6" t="n"/>
      <c r="C222" s="6" t="n"/>
      <c r="D222" s="6" t="n"/>
      <c r="E222" s="7" t="n"/>
      <c r="F222" s="6" t="n"/>
    </row>
    <row r="223">
      <c r="A223" s="6" t="n"/>
      <c r="B223" s="6" t="n"/>
      <c r="C223" s="6" t="n"/>
      <c r="D223" s="6" t="n"/>
      <c r="E223" s="7" t="n"/>
      <c r="F223" s="6" t="n"/>
    </row>
    <row r="224">
      <c r="A224" s="6" t="n"/>
      <c r="B224" s="6" t="n"/>
      <c r="C224" s="6" t="n"/>
      <c r="D224" s="6" t="n"/>
      <c r="E224" s="7" t="n"/>
      <c r="F224" s="6" t="n"/>
    </row>
    <row r="225">
      <c r="A225" s="6" t="n"/>
      <c r="B225" s="6" t="n"/>
      <c r="C225" s="6" t="n"/>
      <c r="D225" s="6" t="n"/>
      <c r="E225" s="7" t="n"/>
      <c r="F225" s="6" t="n"/>
    </row>
    <row r="226">
      <c r="A226" s="6" t="n"/>
      <c r="B226" s="6" t="n"/>
      <c r="C226" s="6" t="n"/>
      <c r="D226" s="6" t="n"/>
      <c r="E226" s="7" t="n"/>
      <c r="F226" s="6" t="n"/>
    </row>
    <row r="227">
      <c r="A227" s="6" t="n"/>
      <c r="B227" s="6" t="n"/>
      <c r="C227" s="6" t="n"/>
      <c r="D227" s="6" t="n"/>
      <c r="E227" s="7" t="n"/>
      <c r="F227" s="6" t="n"/>
    </row>
    <row r="228">
      <c r="A228" s="6" t="n"/>
      <c r="B228" s="6" t="n"/>
      <c r="C228" s="6" t="n"/>
      <c r="D228" s="6" t="n"/>
      <c r="E228" s="7" t="n"/>
      <c r="F228" s="6" t="n"/>
    </row>
    <row r="229">
      <c r="A229" s="6" t="n"/>
      <c r="B229" s="6" t="n"/>
      <c r="C229" s="6" t="n"/>
      <c r="D229" s="6" t="n"/>
      <c r="E229" s="7" t="n"/>
      <c r="F229" s="6" t="n"/>
    </row>
    <row r="230">
      <c r="A230" s="6" t="n"/>
      <c r="B230" s="6" t="n"/>
      <c r="C230" s="6" t="n"/>
      <c r="D230" s="6" t="n"/>
      <c r="E230" s="7" t="n"/>
      <c r="F230" s="6" t="n"/>
    </row>
    <row r="231">
      <c r="A231" s="6" t="n"/>
      <c r="B231" s="6" t="n"/>
      <c r="C231" s="6" t="n"/>
      <c r="D231" s="6" t="n"/>
      <c r="E231" s="7" t="n"/>
      <c r="F231" s="6" t="n"/>
    </row>
    <row r="232">
      <c r="A232" s="6" t="n"/>
      <c r="B232" s="6" t="n"/>
      <c r="C232" s="6" t="n"/>
      <c r="D232" s="6" t="n"/>
      <c r="E232" s="7" t="n"/>
      <c r="F232" s="6" t="n"/>
    </row>
    <row r="233">
      <c r="A233" s="6" t="n"/>
      <c r="B233" s="6" t="n"/>
      <c r="C233" s="6" t="n"/>
      <c r="D233" s="6" t="n"/>
      <c r="E233" s="7" t="n"/>
      <c r="F233" s="6" t="n"/>
    </row>
    <row r="234">
      <c r="A234" s="6" t="n"/>
      <c r="B234" s="6" t="n"/>
      <c r="C234" s="6" t="n"/>
      <c r="D234" s="6" t="n"/>
      <c r="E234" s="7" t="n"/>
      <c r="F234" s="6" t="n"/>
    </row>
    <row r="235">
      <c r="A235" s="6" t="n"/>
      <c r="B235" s="6" t="n"/>
      <c r="C235" s="6" t="n"/>
      <c r="D235" s="6" t="n"/>
      <c r="E235" s="7" t="n"/>
      <c r="F235" s="6" t="n"/>
    </row>
    <row r="236">
      <c r="A236" s="6" t="n"/>
      <c r="B236" s="6" t="n"/>
      <c r="C236" s="6" t="n"/>
      <c r="D236" s="6" t="n"/>
      <c r="E236" s="7" t="n"/>
      <c r="F236" s="6" t="n"/>
    </row>
    <row r="237">
      <c r="A237" s="6" t="n"/>
      <c r="B237" s="6" t="n"/>
      <c r="C237" s="6" t="n"/>
      <c r="D237" s="6" t="n"/>
      <c r="E237" s="7" t="n"/>
      <c r="F237" s="6" t="n"/>
    </row>
    <row r="238">
      <c r="A238" s="6" t="n"/>
      <c r="B238" s="6" t="n"/>
      <c r="C238" s="6" t="n"/>
      <c r="D238" s="6" t="n"/>
      <c r="E238" s="7" t="n"/>
      <c r="F238" s="6" t="n"/>
    </row>
    <row r="239">
      <c r="A239" s="6" t="n"/>
      <c r="B239" s="6" t="n"/>
      <c r="C239" s="6" t="n"/>
      <c r="D239" s="6" t="n"/>
      <c r="E239" s="7" t="n"/>
      <c r="F239" s="6" t="n"/>
    </row>
    <row r="240">
      <c r="A240" s="6" t="n"/>
      <c r="B240" s="6" t="n"/>
      <c r="C240" s="6" t="n"/>
      <c r="D240" s="6" t="n"/>
      <c r="E240" s="7" t="n"/>
      <c r="F240" s="6" t="n"/>
    </row>
    <row r="241">
      <c r="A241" s="6" t="n"/>
      <c r="B241" s="6" t="n"/>
      <c r="C241" s="6" t="n"/>
      <c r="D241" s="6" t="n"/>
      <c r="E241" s="7" t="n"/>
      <c r="F241" s="6" t="n"/>
    </row>
    <row r="242">
      <c r="A242" s="6" t="n"/>
      <c r="B242" s="6" t="n"/>
      <c r="C242" s="6" t="n"/>
      <c r="D242" s="6" t="n"/>
      <c r="E242" s="7" t="n"/>
      <c r="F242" s="6" t="n"/>
    </row>
    <row r="243">
      <c r="A243" s="6" t="n"/>
      <c r="B243" s="6" t="n"/>
      <c r="C243" s="6" t="n"/>
      <c r="D243" s="6" t="n"/>
      <c r="E243" s="7" t="n"/>
      <c r="F243" s="6" t="n"/>
    </row>
    <row r="244">
      <c r="A244" s="6" t="n"/>
      <c r="B244" s="6" t="n"/>
      <c r="C244" s="6" t="n"/>
      <c r="D244" s="6" t="n"/>
      <c r="E244" s="7" t="n"/>
      <c r="F244" s="6" t="n"/>
    </row>
    <row r="245">
      <c r="A245" s="6" t="n"/>
      <c r="B245" s="6" t="n"/>
      <c r="C245" s="6" t="n"/>
      <c r="D245" s="6" t="n"/>
      <c r="E245" s="7" t="n"/>
      <c r="F245" s="6" t="n"/>
    </row>
    <row r="246">
      <c r="A246" s="6" t="n"/>
      <c r="B246" s="6" t="n"/>
      <c r="C246" s="6" t="n"/>
      <c r="D246" s="6" t="n"/>
      <c r="E246" s="7" t="n"/>
      <c r="F246" s="6" t="n"/>
    </row>
    <row r="247">
      <c r="A247" s="6" t="n"/>
      <c r="B247" s="6" t="n"/>
      <c r="C247" s="6" t="n"/>
      <c r="D247" s="6" t="n"/>
      <c r="E247" s="7" t="n"/>
      <c r="F247" s="6" t="n"/>
    </row>
    <row r="248">
      <c r="A248" s="6" t="n"/>
      <c r="B248" s="6" t="n"/>
      <c r="C248" s="6" t="n"/>
      <c r="D248" s="6" t="n"/>
      <c r="E248" s="7" t="n"/>
      <c r="F248" s="6" t="n"/>
    </row>
    <row r="249">
      <c r="A249" s="6" t="n"/>
      <c r="B249" s="6" t="n"/>
      <c r="C249" s="6" t="n"/>
      <c r="D249" s="6" t="n"/>
      <c r="E249" s="7" t="n"/>
      <c r="F249" s="6" t="n"/>
    </row>
    <row r="250">
      <c r="A250" s="6" t="n"/>
      <c r="B250" s="6" t="n"/>
      <c r="C250" s="6" t="n"/>
      <c r="D250" s="6" t="n"/>
      <c r="E250" s="7" t="n"/>
      <c r="F250" s="6" t="n"/>
    </row>
    <row r="251">
      <c r="A251" s="6" t="n"/>
      <c r="B251" s="6" t="n"/>
      <c r="C251" s="6" t="n"/>
      <c r="D251" s="6" t="n"/>
      <c r="E251" s="7" t="n"/>
      <c r="F251" s="6" t="n"/>
    </row>
    <row r="252">
      <c r="A252" s="6" t="n"/>
      <c r="B252" s="6" t="n"/>
      <c r="C252" s="6" t="n"/>
      <c r="D252" s="6" t="n"/>
      <c r="E252" s="7" t="n"/>
      <c r="F252" s="6" t="n"/>
    </row>
    <row r="253">
      <c r="A253" s="6" t="n"/>
      <c r="B253" s="6" t="n"/>
      <c r="C253" s="6" t="n"/>
      <c r="D253" s="6" t="n"/>
      <c r="E253" s="7" t="n"/>
      <c r="F253" s="6" t="n"/>
    </row>
    <row r="254">
      <c r="A254" s="6" t="n"/>
      <c r="B254" s="6" t="n"/>
      <c r="C254" s="6" t="n"/>
      <c r="D254" s="6" t="n"/>
      <c r="E254" s="7" t="n"/>
      <c r="F254" s="6" t="n"/>
    </row>
    <row r="255">
      <c r="A255" s="6" t="n"/>
      <c r="B255" s="6" t="n"/>
      <c r="C255" s="6" t="n"/>
      <c r="D255" s="6" t="n"/>
      <c r="E255" s="7" t="n"/>
      <c r="F255" s="6" t="n"/>
    </row>
    <row r="256">
      <c r="A256" s="6" t="n"/>
      <c r="B256" s="6" t="n"/>
      <c r="C256" s="6" t="n"/>
      <c r="D256" s="6" t="n"/>
      <c r="E256" s="7" t="n"/>
      <c r="F256" s="6" t="n"/>
    </row>
    <row r="257">
      <c r="A257" s="6" t="n"/>
      <c r="B257" s="6" t="n"/>
      <c r="C257" s="6" t="n"/>
      <c r="D257" s="6" t="n"/>
      <c r="E257" s="7" t="n"/>
      <c r="F257" s="6" t="n"/>
    </row>
    <row r="258">
      <c r="A258" s="6" t="n"/>
      <c r="B258" s="6" t="n"/>
      <c r="C258" s="6" t="n"/>
      <c r="D258" s="6" t="n"/>
      <c r="E258" s="7" t="n"/>
      <c r="F258" s="6" t="n"/>
    </row>
    <row r="259">
      <c r="A259" s="6" t="n"/>
      <c r="B259" s="6" t="n"/>
      <c r="C259" s="6" t="n"/>
      <c r="D259" s="6" t="n"/>
      <c r="E259" s="7" t="n"/>
      <c r="F259" s="6" t="n"/>
    </row>
    <row r="260">
      <c r="A260" s="6" t="n"/>
      <c r="B260" s="6" t="n"/>
      <c r="C260" s="6" t="n"/>
      <c r="D260" s="6" t="n"/>
      <c r="E260" s="7" t="n"/>
      <c r="F260" s="6" t="n"/>
    </row>
    <row r="261">
      <c r="A261" s="6" t="n"/>
      <c r="B261" s="6" t="n"/>
      <c r="C261" s="6" t="n"/>
      <c r="D261" s="6" t="n"/>
      <c r="E261" s="7" t="n"/>
      <c r="F261" s="6" t="n"/>
    </row>
    <row r="262">
      <c r="A262" s="6" t="n"/>
      <c r="B262" s="6" t="n"/>
      <c r="C262" s="6" t="n"/>
      <c r="D262" s="6" t="n"/>
      <c r="E262" s="7" t="n"/>
      <c r="F262" s="6" t="n"/>
    </row>
    <row r="263">
      <c r="A263" s="6" t="n"/>
      <c r="B263" s="6" t="n"/>
      <c r="C263" s="6" t="n"/>
      <c r="D263" s="6" t="n"/>
      <c r="E263" s="7" t="n"/>
      <c r="F263" s="6" t="n"/>
    </row>
    <row r="264">
      <c r="A264" s="6" t="n"/>
      <c r="B264" s="6" t="n"/>
      <c r="C264" s="6" t="n"/>
      <c r="D264" s="6" t="n"/>
      <c r="E264" s="7" t="n"/>
      <c r="F264" s="6" t="n"/>
    </row>
    <row r="265">
      <c r="A265" s="6" t="n"/>
      <c r="B265" s="6" t="n"/>
      <c r="C265" s="6" t="n"/>
      <c r="D265" s="6" t="n"/>
      <c r="E265" s="7" t="n"/>
      <c r="F265" s="6" t="n"/>
    </row>
    <row r="266">
      <c r="A266" s="6" t="n"/>
      <c r="B266" s="6" t="n"/>
      <c r="C266" s="6" t="n"/>
      <c r="D266" s="6" t="n"/>
      <c r="E266" s="7" t="n"/>
      <c r="F266" s="6" t="n"/>
    </row>
    <row r="267">
      <c r="A267" s="6" t="n"/>
      <c r="B267" s="6" t="n"/>
      <c r="C267" s="6" t="n"/>
      <c r="D267" s="6" t="n"/>
      <c r="E267" s="7" t="n"/>
      <c r="F267" s="6" t="n"/>
    </row>
    <row r="268">
      <c r="A268" s="6" t="n"/>
      <c r="B268" s="6" t="n"/>
      <c r="C268" s="6" t="n"/>
      <c r="D268" s="6" t="n"/>
      <c r="E268" s="7" t="n"/>
      <c r="F268" s="6" t="n"/>
    </row>
    <row r="269">
      <c r="A269" s="6" t="n"/>
      <c r="B269" s="6" t="n"/>
      <c r="C269" s="6" t="n"/>
      <c r="D269" s="6" t="n"/>
      <c r="E269" s="7" t="n"/>
      <c r="F269" s="6" t="n"/>
    </row>
    <row r="270">
      <c r="A270" s="6" t="n"/>
      <c r="B270" s="6" t="n"/>
      <c r="C270" s="6" t="n"/>
      <c r="D270" s="6" t="n"/>
      <c r="E270" s="7" t="n"/>
      <c r="F270" s="6" t="n"/>
    </row>
    <row r="271">
      <c r="A271" s="6" t="n"/>
      <c r="B271" s="6" t="n"/>
      <c r="C271" s="6" t="n"/>
      <c r="D271" s="6" t="n"/>
      <c r="E271" s="7" t="n"/>
      <c r="F271" s="6" t="n"/>
    </row>
    <row r="272">
      <c r="A272" s="6" t="n"/>
      <c r="B272" s="6" t="n"/>
      <c r="C272" s="6" t="n"/>
      <c r="D272" s="6" t="n"/>
      <c r="E272" s="7" t="n"/>
      <c r="F272" s="6" t="n"/>
    </row>
    <row r="273">
      <c r="A273" s="6" t="n"/>
      <c r="B273" s="6" t="n"/>
      <c r="C273" s="6" t="n"/>
      <c r="D273" s="6" t="n"/>
      <c r="E273" s="7" t="n"/>
      <c r="F273" s="6" t="n"/>
    </row>
    <row r="274">
      <c r="A274" s="6" t="n"/>
      <c r="B274" s="6" t="n"/>
      <c r="C274" s="6" t="n"/>
      <c r="D274" s="6" t="n"/>
      <c r="E274" s="7" t="n"/>
      <c r="F274" s="6" t="n"/>
    </row>
    <row r="275">
      <c r="A275" s="6" t="n"/>
      <c r="B275" s="6" t="n"/>
      <c r="C275" s="6" t="n"/>
      <c r="D275" s="6" t="n"/>
      <c r="E275" s="7" t="n"/>
      <c r="F275" s="6" t="n"/>
    </row>
    <row r="276">
      <c r="A276" s="6" t="n"/>
      <c r="B276" s="6" t="n"/>
      <c r="C276" s="6" t="n"/>
      <c r="D276" s="6" t="n"/>
      <c r="E276" s="7" t="n"/>
      <c r="F276" s="6" t="n"/>
    </row>
    <row r="277">
      <c r="A277" s="6" t="n"/>
      <c r="B277" s="6" t="n"/>
      <c r="C277" s="6" t="n"/>
      <c r="D277" s="6" t="n"/>
      <c r="E277" s="7" t="n"/>
      <c r="F277" s="6" t="n"/>
    </row>
    <row r="278">
      <c r="A278" s="6" t="n"/>
      <c r="B278" s="6" t="n"/>
      <c r="C278" s="6" t="n"/>
      <c r="D278" s="6" t="n"/>
      <c r="E278" s="7" t="n"/>
      <c r="F278" s="6" t="n"/>
    </row>
    <row r="279">
      <c r="A279" s="6" t="n"/>
      <c r="B279" s="6" t="n"/>
      <c r="C279" s="6" t="n"/>
      <c r="D279" s="6" t="n"/>
      <c r="E279" s="7" t="n"/>
      <c r="F279" s="6" t="n"/>
    </row>
    <row r="280">
      <c r="A280" s="6" t="n"/>
      <c r="B280" s="6" t="n"/>
      <c r="C280" s="6" t="n"/>
      <c r="D280" s="6" t="n"/>
      <c r="E280" s="7" t="n"/>
      <c r="F280" s="6" t="n"/>
    </row>
    <row r="281">
      <c r="A281" s="6" t="n"/>
      <c r="B281" s="6" t="n"/>
      <c r="C281" s="6" t="n"/>
      <c r="D281" s="6" t="n"/>
      <c r="E281" s="7" t="n"/>
      <c r="F281" s="6" t="n"/>
    </row>
    <row r="282">
      <c r="A282" s="6" t="n"/>
      <c r="B282" s="6" t="n"/>
      <c r="C282" s="6" t="n"/>
      <c r="D282" s="6" t="n"/>
      <c r="E282" s="7" t="n"/>
      <c r="F282" s="6" t="n"/>
    </row>
    <row r="283">
      <c r="A283" s="6" t="n"/>
      <c r="B283" s="6" t="n"/>
      <c r="C283" s="6" t="n"/>
      <c r="D283" s="6" t="n"/>
      <c r="E283" s="7" t="n"/>
      <c r="F283" s="6" t="n"/>
    </row>
    <row r="284">
      <c r="A284" s="6" t="n"/>
      <c r="B284" s="6" t="n"/>
      <c r="C284" s="6" t="n"/>
      <c r="D284" s="6" t="n"/>
      <c r="E284" s="7" t="n"/>
      <c r="F284" s="6" t="n"/>
    </row>
    <row r="285">
      <c r="A285" s="6" t="n"/>
      <c r="B285" s="6" t="n"/>
      <c r="C285" s="6" t="n"/>
      <c r="D285" s="6" t="n"/>
      <c r="E285" s="7" t="n"/>
      <c r="F285" s="6" t="n"/>
    </row>
    <row r="286">
      <c r="A286" s="6" t="n"/>
      <c r="B286" s="6" t="n"/>
      <c r="C286" s="6" t="n"/>
      <c r="D286" s="6" t="n"/>
      <c r="E286" s="7" t="n"/>
      <c r="F286" s="6" t="n"/>
    </row>
    <row r="287">
      <c r="A287" s="6" t="n"/>
      <c r="B287" s="6" t="n"/>
      <c r="C287" s="6" t="n"/>
      <c r="D287" s="6" t="n"/>
      <c r="E287" s="7" t="n"/>
      <c r="F287" s="6" t="n"/>
    </row>
    <row r="288">
      <c r="A288" s="6" t="n"/>
      <c r="B288" s="6" t="n"/>
      <c r="C288" s="6" t="n"/>
      <c r="D288" s="6" t="n"/>
      <c r="E288" s="7" t="n"/>
      <c r="F288" s="6" t="n"/>
    </row>
    <row r="289">
      <c r="A289" s="6" t="n"/>
      <c r="B289" s="6" t="n"/>
      <c r="C289" s="6" t="n"/>
      <c r="D289" s="6" t="n"/>
      <c r="E289" s="7" t="n"/>
      <c r="F289" s="6" t="n"/>
    </row>
    <row r="290">
      <c r="A290" s="6" t="n"/>
      <c r="B290" s="6" t="n"/>
      <c r="C290" s="6" t="n"/>
      <c r="D290" s="6" t="n"/>
      <c r="E290" s="7" t="n"/>
      <c r="F290" s="6" t="n"/>
    </row>
    <row r="291">
      <c r="A291" s="6" t="n"/>
      <c r="B291" s="6" t="n"/>
      <c r="C291" s="6" t="n"/>
      <c r="D291" s="6" t="n"/>
      <c r="E291" s="7" t="n"/>
      <c r="F291" s="6" t="n"/>
    </row>
    <row r="292">
      <c r="A292" s="6" t="n"/>
      <c r="B292" s="6" t="n"/>
      <c r="C292" s="6" t="n"/>
      <c r="D292" s="6" t="n"/>
      <c r="E292" s="7" t="n"/>
      <c r="F292" s="6" t="n"/>
    </row>
    <row r="293">
      <c r="A293" s="6" t="n"/>
      <c r="B293" s="6" t="n"/>
      <c r="C293" s="6" t="n"/>
      <c r="D293" s="6" t="n"/>
      <c r="E293" s="7" t="n"/>
      <c r="F293" s="6" t="n"/>
    </row>
    <row r="294">
      <c r="A294" s="6" t="n"/>
      <c r="B294" s="6" t="n"/>
      <c r="C294" s="6" t="n"/>
      <c r="D294" s="6" t="n"/>
      <c r="E294" s="7" t="n"/>
      <c r="F294" s="6" t="n"/>
    </row>
    <row r="295">
      <c r="A295" s="6" t="n"/>
      <c r="B295" s="6" t="n"/>
      <c r="C295" s="6" t="n"/>
      <c r="D295" s="6" t="n"/>
      <c r="E295" s="7" t="n"/>
      <c r="F295" s="6" t="n"/>
    </row>
    <row r="296">
      <c r="A296" s="6" t="n"/>
      <c r="B296" s="6" t="n"/>
      <c r="C296" s="6" t="n"/>
      <c r="D296" s="6" t="n"/>
      <c r="E296" s="7" t="n"/>
      <c r="F296" s="6" t="n"/>
    </row>
    <row r="297">
      <c r="A297" s="6" t="n"/>
      <c r="B297" s="6" t="n"/>
      <c r="C297" s="6" t="n"/>
      <c r="D297" s="6" t="n"/>
      <c r="E297" s="7" t="n"/>
      <c r="F297" s="6" t="n"/>
    </row>
    <row r="298">
      <c r="A298" s="6" t="n"/>
      <c r="B298" s="6" t="n"/>
      <c r="C298" s="6" t="n"/>
      <c r="D298" s="6" t="n"/>
      <c r="E298" s="7" t="n"/>
      <c r="F298" s="6" t="n"/>
    </row>
    <row r="299">
      <c r="A299" s="6" t="n"/>
      <c r="B299" s="6" t="n"/>
      <c r="C299" s="6" t="n"/>
      <c r="D299" s="6" t="n"/>
      <c r="E299" s="7" t="n"/>
      <c r="F299" s="6" t="n"/>
    </row>
    <row r="300">
      <c r="A300" s="6" t="n"/>
      <c r="B300" s="6" t="n"/>
      <c r="C300" s="6" t="n"/>
      <c r="D300" s="6" t="n"/>
      <c r="E300" s="7" t="n"/>
      <c r="F300" s="6" t="n"/>
    </row>
    <row r="301">
      <c r="A301" s="6" t="n"/>
      <c r="B301" s="6" t="n"/>
      <c r="C301" s="6" t="n"/>
      <c r="D301" s="6" t="n"/>
      <c r="E301" s="7" t="n"/>
      <c r="F30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13" customWidth="1" min="4" max="4"/>
    <col width="13" customWidth="1" min="5" max="5"/>
    <col width="17" customWidth="1" min="6" max="6"/>
    <col width="34" customWidth="1" min="7" max="7"/>
  </cols>
  <sheetData>
    <row r="1">
      <c r="A1" s="5" t="inlineStr">
        <is>
          <t>Date</t>
        </is>
      </c>
      <c r="B1" s="5" t="inlineStr">
        <is>
          <t>Category</t>
        </is>
      </c>
      <c r="C1" s="5" t="inlineStr">
        <is>
          <t>Vendor</t>
        </is>
      </c>
      <c r="D1" s="5" t="inlineStr">
        <is>
          <t>Amount</t>
        </is>
      </c>
      <c r="E1" s="5" t="inlineStr">
        <is>
          <t>Deductible %</t>
        </is>
      </c>
      <c r="F1" s="5" t="inlineStr">
        <is>
          <t>Deductible Amount</t>
        </is>
      </c>
      <c r="G1" s="5" t="inlineStr">
        <is>
          <t>Notes</t>
        </is>
      </c>
    </row>
    <row r="2">
      <c r="A2" s="6" t="n"/>
      <c r="B2" s="6" t="n"/>
      <c r="C2" s="6" t="n"/>
      <c r="D2" s="7" t="n"/>
      <c r="E2" s="8">
        <f>IF(B2="Meals",50,IF(B2="","",100))</f>
        <v/>
      </c>
      <c r="F2" s="7">
        <f>IF(OR(D2="",B2=""),"",D2*(E2/100))</f>
        <v/>
      </c>
      <c r="G2" s="6" t="n"/>
    </row>
    <row r="3">
      <c r="A3" s="6" t="n"/>
      <c r="B3" s="6" t="n"/>
      <c r="C3" s="6" t="n"/>
      <c r="D3" s="7" t="n"/>
      <c r="E3" s="8">
        <f>IF(B3="Meals",50,IF(B3="","",100))</f>
        <v/>
      </c>
      <c r="F3" s="7">
        <f>IF(OR(D3="",B3=""),"",D3*(E3/100))</f>
        <v/>
      </c>
      <c r="G3" s="6" t="n"/>
    </row>
    <row r="4">
      <c r="A4" s="6" t="n"/>
      <c r="B4" s="6" t="n"/>
      <c r="C4" s="6" t="n"/>
      <c r="D4" s="7" t="n"/>
      <c r="E4" s="8">
        <f>IF(B4="Meals",50,IF(B4="","",100))</f>
        <v/>
      </c>
      <c r="F4" s="7">
        <f>IF(OR(D4="",B4=""),"",D4*(E4/100))</f>
        <v/>
      </c>
      <c r="G4" s="6" t="n"/>
    </row>
    <row r="5">
      <c r="A5" s="6" t="n"/>
      <c r="B5" s="6" t="n"/>
      <c r="C5" s="6" t="n"/>
      <c r="D5" s="7" t="n"/>
      <c r="E5" s="8">
        <f>IF(B5="Meals",50,IF(B5="","",100))</f>
        <v/>
      </c>
      <c r="F5" s="7">
        <f>IF(OR(D5="",B5=""),"",D5*(E5/100))</f>
        <v/>
      </c>
      <c r="G5" s="6" t="n"/>
    </row>
    <row r="6">
      <c r="A6" s="6" t="n"/>
      <c r="B6" s="6" t="n"/>
      <c r="C6" s="6" t="n"/>
      <c r="D6" s="7" t="n"/>
      <c r="E6" s="8">
        <f>IF(B6="Meals",50,IF(B6="","",100))</f>
        <v/>
      </c>
      <c r="F6" s="7">
        <f>IF(OR(D6="",B6=""),"",D6*(E6/100))</f>
        <v/>
      </c>
      <c r="G6" s="6" t="n"/>
    </row>
    <row r="7">
      <c r="A7" s="6" t="n"/>
      <c r="B7" s="6" t="n"/>
      <c r="C7" s="6" t="n"/>
      <c r="D7" s="7" t="n"/>
      <c r="E7" s="8">
        <f>IF(B7="Meals",50,IF(B7="","",100))</f>
        <v/>
      </c>
      <c r="F7" s="7">
        <f>IF(OR(D7="",B7=""),"",D7*(E7/100))</f>
        <v/>
      </c>
      <c r="G7" s="6" t="n"/>
    </row>
    <row r="8">
      <c r="A8" s="6" t="n"/>
      <c r="B8" s="6" t="n"/>
      <c r="C8" s="6" t="n"/>
      <c r="D8" s="7" t="n"/>
      <c r="E8" s="8">
        <f>IF(B8="Meals",50,IF(B8="","",100))</f>
        <v/>
      </c>
      <c r="F8" s="7">
        <f>IF(OR(D8="",B8=""),"",D8*(E8/100))</f>
        <v/>
      </c>
      <c r="G8" s="6" t="n"/>
    </row>
    <row r="9">
      <c r="A9" s="6" t="n"/>
      <c r="B9" s="6" t="n"/>
      <c r="C9" s="6" t="n"/>
      <c r="D9" s="7" t="n"/>
      <c r="E9" s="8">
        <f>IF(B9="Meals",50,IF(B9="","",100))</f>
        <v/>
      </c>
      <c r="F9" s="7">
        <f>IF(OR(D9="",B9=""),"",D9*(E9/100))</f>
        <v/>
      </c>
      <c r="G9" s="6" t="n"/>
    </row>
    <row r="10">
      <c r="A10" s="6" t="n"/>
      <c r="B10" s="6" t="n"/>
      <c r="C10" s="6" t="n"/>
      <c r="D10" s="7" t="n"/>
      <c r="E10" s="8">
        <f>IF(B10="Meals",50,IF(B10="","",100))</f>
        <v/>
      </c>
      <c r="F10" s="7">
        <f>IF(OR(D10="",B10=""),"",D10*(E10/100))</f>
        <v/>
      </c>
      <c r="G10" s="6" t="n"/>
    </row>
    <row r="11">
      <c r="A11" s="6" t="n"/>
      <c r="B11" s="6" t="n"/>
      <c r="C11" s="6" t="n"/>
      <c r="D11" s="7" t="n"/>
      <c r="E11" s="8">
        <f>IF(B11="Meals",50,IF(B11="","",100))</f>
        <v/>
      </c>
      <c r="F11" s="7">
        <f>IF(OR(D11="",B11=""),"",D11*(E11/100))</f>
        <v/>
      </c>
      <c r="G11" s="6" t="n"/>
    </row>
    <row r="12">
      <c r="A12" s="6" t="n"/>
      <c r="B12" s="6" t="n"/>
      <c r="C12" s="6" t="n"/>
      <c r="D12" s="7" t="n"/>
      <c r="E12" s="8">
        <f>IF(B12="Meals",50,IF(B12="","",100))</f>
        <v/>
      </c>
      <c r="F12" s="7">
        <f>IF(OR(D12="",B12=""),"",D12*(E12/100))</f>
        <v/>
      </c>
      <c r="G12" s="6" t="n"/>
    </row>
    <row r="13">
      <c r="A13" s="6" t="n"/>
      <c r="B13" s="6" t="n"/>
      <c r="C13" s="6" t="n"/>
      <c r="D13" s="7" t="n"/>
      <c r="E13" s="8">
        <f>IF(B13="Meals",50,IF(B13="","",100))</f>
        <v/>
      </c>
      <c r="F13" s="7">
        <f>IF(OR(D13="",B13=""),"",D13*(E13/100))</f>
        <v/>
      </c>
      <c r="G13" s="6" t="n"/>
    </row>
    <row r="14">
      <c r="A14" s="6" t="n"/>
      <c r="B14" s="6" t="n"/>
      <c r="C14" s="6" t="n"/>
      <c r="D14" s="7" t="n"/>
      <c r="E14" s="8">
        <f>IF(B14="Meals",50,IF(B14="","",100))</f>
        <v/>
      </c>
      <c r="F14" s="7">
        <f>IF(OR(D14="",B14=""),"",D14*(E14/100))</f>
        <v/>
      </c>
      <c r="G14" s="6" t="n"/>
    </row>
    <row r="15">
      <c r="A15" s="6" t="n"/>
      <c r="B15" s="6" t="n"/>
      <c r="C15" s="6" t="n"/>
      <c r="D15" s="7" t="n"/>
      <c r="E15" s="8">
        <f>IF(B15="Meals",50,IF(B15="","",100))</f>
        <v/>
      </c>
      <c r="F15" s="7">
        <f>IF(OR(D15="",B15=""),"",D15*(E15/100))</f>
        <v/>
      </c>
      <c r="G15" s="6" t="n"/>
    </row>
    <row r="16">
      <c r="A16" s="6" t="n"/>
      <c r="B16" s="6" t="n"/>
      <c r="C16" s="6" t="n"/>
      <c r="D16" s="7" t="n"/>
      <c r="E16" s="8">
        <f>IF(B16="Meals",50,IF(B16="","",100))</f>
        <v/>
      </c>
      <c r="F16" s="7">
        <f>IF(OR(D16="",B16=""),"",D16*(E16/100))</f>
        <v/>
      </c>
      <c r="G16" s="6" t="n"/>
    </row>
    <row r="17">
      <c r="A17" s="6" t="n"/>
      <c r="B17" s="6" t="n"/>
      <c r="C17" s="6" t="n"/>
      <c r="D17" s="7" t="n"/>
      <c r="E17" s="8">
        <f>IF(B17="Meals",50,IF(B17="","",100))</f>
        <v/>
      </c>
      <c r="F17" s="7">
        <f>IF(OR(D17="",B17=""),"",D17*(E17/100))</f>
        <v/>
      </c>
      <c r="G17" s="6" t="n"/>
    </row>
    <row r="18">
      <c r="A18" s="6" t="n"/>
      <c r="B18" s="6" t="n"/>
      <c r="C18" s="6" t="n"/>
      <c r="D18" s="7" t="n"/>
      <c r="E18" s="8">
        <f>IF(B18="Meals",50,IF(B18="","",100))</f>
        <v/>
      </c>
      <c r="F18" s="7">
        <f>IF(OR(D18="",B18=""),"",D18*(E18/100))</f>
        <v/>
      </c>
      <c r="G18" s="6" t="n"/>
    </row>
    <row r="19">
      <c r="A19" s="6" t="n"/>
      <c r="B19" s="6" t="n"/>
      <c r="C19" s="6" t="n"/>
      <c r="D19" s="7" t="n"/>
      <c r="E19" s="8">
        <f>IF(B19="Meals",50,IF(B19="","",100))</f>
        <v/>
      </c>
      <c r="F19" s="7">
        <f>IF(OR(D19="",B19=""),"",D19*(E19/100))</f>
        <v/>
      </c>
      <c r="G19" s="6" t="n"/>
    </row>
    <row r="20">
      <c r="A20" s="6" t="n"/>
      <c r="B20" s="6" t="n"/>
      <c r="C20" s="6" t="n"/>
      <c r="D20" s="7" t="n"/>
      <c r="E20" s="8">
        <f>IF(B20="Meals",50,IF(B20="","",100))</f>
        <v/>
      </c>
      <c r="F20" s="7">
        <f>IF(OR(D20="",B20=""),"",D20*(E20/100))</f>
        <v/>
      </c>
      <c r="G20" s="6" t="n"/>
    </row>
    <row r="21">
      <c r="A21" s="6" t="n"/>
      <c r="B21" s="6" t="n"/>
      <c r="C21" s="6" t="n"/>
      <c r="D21" s="7" t="n"/>
      <c r="E21" s="8">
        <f>IF(B21="Meals",50,IF(B21="","",100))</f>
        <v/>
      </c>
      <c r="F21" s="7">
        <f>IF(OR(D21="",B21=""),"",D21*(E21/100))</f>
        <v/>
      </c>
      <c r="G21" s="6" t="n"/>
    </row>
    <row r="22">
      <c r="A22" s="6" t="n"/>
      <c r="B22" s="6" t="n"/>
      <c r="C22" s="6" t="n"/>
      <c r="D22" s="7" t="n"/>
      <c r="E22" s="8">
        <f>IF(B22="Meals",50,IF(B22="","",100))</f>
        <v/>
      </c>
      <c r="F22" s="7">
        <f>IF(OR(D22="",B22=""),"",D22*(E22/100))</f>
        <v/>
      </c>
      <c r="G22" s="6" t="n"/>
    </row>
    <row r="23">
      <c r="A23" s="6" t="n"/>
      <c r="B23" s="6" t="n"/>
      <c r="C23" s="6" t="n"/>
      <c r="D23" s="7" t="n"/>
      <c r="E23" s="8">
        <f>IF(B23="Meals",50,IF(B23="","",100))</f>
        <v/>
      </c>
      <c r="F23" s="7">
        <f>IF(OR(D23="",B23=""),"",D23*(E23/100))</f>
        <v/>
      </c>
      <c r="G23" s="6" t="n"/>
    </row>
    <row r="24">
      <c r="A24" s="6" t="n"/>
      <c r="B24" s="6" t="n"/>
      <c r="C24" s="6" t="n"/>
      <c r="D24" s="7" t="n"/>
      <c r="E24" s="8">
        <f>IF(B24="Meals",50,IF(B24="","",100))</f>
        <v/>
      </c>
      <c r="F24" s="7">
        <f>IF(OR(D24="",B24=""),"",D24*(E24/100))</f>
        <v/>
      </c>
      <c r="G24" s="6" t="n"/>
    </row>
    <row r="25">
      <c r="A25" s="6" t="n"/>
      <c r="B25" s="6" t="n"/>
      <c r="C25" s="6" t="n"/>
      <c r="D25" s="7" t="n"/>
      <c r="E25" s="8">
        <f>IF(B25="Meals",50,IF(B25="","",100))</f>
        <v/>
      </c>
      <c r="F25" s="7">
        <f>IF(OR(D25="",B25=""),"",D25*(E25/100))</f>
        <v/>
      </c>
      <c r="G25" s="6" t="n"/>
    </row>
    <row r="26">
      <c r="A26" s="6" t="n"/>
      <c r="B26" s="6" t="n"/>
      <c r="C26" s="6" t="n"/>
      <c r="D26" s="7" t="n"/>
      <c r="E26" s="8">
        <f>IF(B26="Meals",50,IF(B26="","",100))</f>
        <v/>
      </c>
      <c r="F26" s="7">
        <f>IF(OR(D26="",B26=""),"",D26*(E26/100))</f>
        <v/>
      </c>
      <c r="G26" s="6" t="n"/>
    </row>
    <row r="27">
      <c r="A27" s="6" t="n"/>
      <c r="B27" s="6" t="n"/>
      <c r="C27" s="6" t="n"/>
      <c r="D27" s="7" t="n"/>
      <c r="E27" s="8">
        <f>IF(B27="Meals",50,IF(B27="","",100))</f>
        <v/>
      </c>
      <c r="F27" s="7">
        <f>IF(OR(D27="",B27=""),"",D27*(E27/100))</f>
        <v/>
      </c>
      <c r="G27" s="6" t="n"/>
    </row>
    <row r="28">
      <c r="A28" s="6" t="n"/>
      <c r="B28" s="6" t="n"/>
      <c r="C28" s="6" t="n"/>
      <c r="D28" s="7" t="n"/>
      <c r="E28" s="8">
        <f>IF(B28="Meals",50,IF(B28="","",100))</f>
        <v/>
      </c>
      <c r="F28" s="7">
        <f>IF(OR(D28="",B28=""),"",D28*(E28/100))</f>
        <v/>
      </c>
      <c r="G28" s="6" t="n"/>
    </row>
    <row r="29">
      <c r="A29" s="6" t="n"/>
      <c r="B29" s="6" t="n"/>
      <c r="C29" s="6" t="n"/>
      <c r="D29" s="7" t="n"/>
      <c r="E29" s="8">
        <f>IF(B29="Meals",50,IF(B29="","",100))</f>
        <v/>
      </c>
      <c r="F29" s="7">
        <f>IF(OR(D29="",B29=""),"",D29*(E29/100))</f>
        <v/>
      </c>
      <c r="G29" s="6" t="n"/>
    </row>
    <row r="30">
      <c r="A30" s="6" t="n"/>
      <c r="B30" s="6" t="n"/>
      <c r="C30" s="6" t="n"/>
      <c r="D30" s="7" t="n"/>
      <c r="E30" s="8">
        <f>IF(B30="Meals",50,IF(B30="","",100))</f>
        <v/>
      </c>
      <c r="F30" s="7">
        <f>IF(OR(D30="",B30=""),"",D30*(E30/100))</f>
        <v/>
      </c>
      <c r="G30" s="6" t="n"/>
    </row>
    <row r="31">
      <c r="A31" s="6" t="n"/>
      <c r="B31" s="6" t="n"/>
      <c r="C31" s="6" t="n"/>
      <c r="D31" s="7" t="n"/>
      <c r="E31" s="8">
        <f>IF(B31="Meals",50,IF(B31="","",100))</f>
        <v/>
      </c>
      <c r="F31" s="7">
        <f>IF(OR(D31="",B31=""),"",D31*(E31/100))</f>
        <v/>
      </c>
      <c r="G31" s="6" t="n"/>
    </row>
    <row r="32">
      <c r="A32" s="6" t="n"/>
      <c r="B32" s="6" t="n"/>
      <c r="C32" s="6" t="n"/>
      <c r="D32" s="7" t="n"/>
      <c r="E32" s="8">
        <f>IF(B32="Meals",50,IF(B32="","",100))</f>
        <v/>
      </c>
      <c r="F32" s="7">
        <f>IF(OR(D32="",B32=""),"",D32*(E32/100))</f>
        <v/>
      </c>
      <c r="G32" s="6" t="n"/>
    </row>
    <row r="33">
      <c r="A33" s="6" t="n"/>
      <c r="B33" s="6" t="n"/>
      <c r="C33" s="6" t="n"/>
      <c r="D33" s="7" t="n"/>
      <c r="E33" s="8">
        <f>IF(B33="Meals",50,IF(B33="","",100))</f>
        <v/>
      </c>
      <c r="F33" s="7">
        <f>IF(OR(D33="",B33=""),"",D33*(E33/100))</f>
        <v/>
      </c>
      <c r="G33" s="6" t="n"/>
    </row>
    <row r="34">
      <c r="A34" s="6" t="n"/>
      <c r="B34" s="6" t="n"/>
      <c r="C34" s="6" t="n"/>
      <c r="D34" s="7" t="n"/>
      <c r="E34" s="8">
        <f>IF(B34="Meals",50,IF(B34="","",100))</f>
        <v/>
      </c>
      <c r="F34" s="7">
        <f>IF(OR(D34="",B34=""),"",D34*(E34/100))</f>
        <v/>
      </c>
      <c r="G34" s="6" t="n"/>
    </row>
    <row r="35">
      <c r="A35" s="6" t="n"/>
      <c r="B35" s="6" t="n"/>
      <c r="C35" s="6" t="n"/>
      <c r="D35" s="7" t="n"/>
      <c r="E35" s="8">
        <f>IF(B35="Meals",50,IF(B35="","",100))</f>
        <v/>
      </c>
      <c r="F35" s="7">
        <f>IF(OR(D35="",B35=""),"",D35*(E35/100))</f>
        <v/>
      </c>
      <c r="G35" s="6" t="n"/>
    </row>
    <row r="36">
      <c r="A36" s="6" t="n"/>
      <c r="B36" s="6" t="n"/>
      <c r="C36" s="6" t="n"/>
      <c r="D36" s="7" t="n"/>
      <c r="E36" s="8">
        <f>IF(B36="Meals",50,IF(B36="","",100))</f>
        <v/>
      </c>
      <c r="F36" s="7">
        <f>IF(OR(D36="",B36=""),"",D36*(E36/100))</f>
        <v/>
      </c>
      <c r="G36" s="6" t="n"/>
    </row>
    <row r="37">
      <c r="A37" s="6" t="n"/>
      <c r="B37" s="6" t="n"/>
      <c r="C37" s="6" t="n"/>
      <c r="D37" s="7" t="n"/>
      <c r="E37" s="8">
        <f>IF(B37="Meals",50,IF(B37="","",100))</f>
        <v/>
      </c>
      <c r="F37" s="7">
        <f>IF(OR(D37="",B37=""),"",D37*(E37/100))</f>
        <v/>
      </c>
      <c r="G37" s="6" t="n"/>
    </row>
    <row r="38">
      <c r="A38" s="6" t="n"/>
      <c r="B38" s="6" t="n"/>
      <c r="C38" s="6" t="n"/>
      <c r="D38" s="7" t="n"/>
      <c r="E38" s="8">
        <f>IF(B38="Meals",50,IF(B38="","",100))</f>
        <v/>
      </c>
      <c r="F38" s="7">
        <f>IF(OR(D38="",B38=""),"",D38*(E38/100))</f>
        <v/>
      </c>
      <c r="G38" s="6" t="n"/>
    </row>
    <row r="39">
      <c r="A39" s="6" t="n"/>
      <c r="B39" s="6" t="n"/>
      <c r="C39" s="6" t="n"/>
      <c r="D39" s="7" t="n"/>
      <c r="E39" s="8">
        <f>IF(B39="Meals",50,IF(B39="","",100))</f>
        <v/>
      </c>
      <c r="F39" s="7">
        <f>IF(OR(D39="",B39=""),"",D39*(E39/100))</f>
        <v/>
      </c>
      <c r="G39" s="6" t="n"/>
    </row>
    <row r="40">
      <c r="A40" s="6" t="n"/>
      <c r="B40" s="6" t="n"/>
      <c r="C40" s="6" t="n"/>
      <c r="D40" s="7" t="n"/>
      <c r="E40" s="8">
        <f>IF(B40="Meals",50,IF(B40="","",100))</f>
        <v/>
      </c>
      <c r="F40" s="7">
        <f>IF(OR(D40="",B40=""),"",D40*(E40/100))</f>
        <v/>
      </c>
      <c r="G40" s="6" t="n"/>
    </row>
    <row r="41">
      <c r="A41" s="6" t="n"/>
      <c r="B41" s="6" t="n"/>
      <c r="C41" s="6" t="n"/>
      <c r="D41" s="7" t="n"/>
      <c r="E41" s="8">
        <f>IF(B41="Meals",50,IF(B41="","",100))</f>
        <v/>
      </c>
      <c r="F41" s="7">
        <f>IF(OR(D41="",B41=""),"",D41*(E41/100))</f>
        <v/>
      </c>
      <c r="G41" s="6" t="n"/>
    </row>
    <row r="42">
      <c r="A42" s="6" t="n"/>
      <c r="B42" s="6" t="n"/>
      <c r="C42" s="6" t="n"/>
      <c r="D42" s="7" t="n"/>
      <c r="E42" s="8">
        <f>IF(B42="Meals",50,IF(B42="","",100))</f>
        <v/>
      </c>
      <c r="F42" s="7">
        <f>IF(OR(D42="",B42=""),"",D42*(E42/100))</f>
        <v/>
      </c>
      <c r="G42" s="6" t="n"/>
    </row>
    <row r="43">
      <c r="A43" s="6" t="n"/>
      <c r="B43" s="6" t="n"/>
      <c r="C43" s="6" t="n"/>
      <c r="D43" s="7" t="n"/>
      <c r="E43" s="8">
        <f>IF(B43="Meals",50,IF(B43="","",100))</f>
        <v/>
      </c>
      <c r="F43" s="7">
        <f>IF(OR(D43="",B43=""),"",D43*(E43/100))</f>
        <v/>
      </c>
      <c r="G43" s="6" t="n"/>
    </row>
    <row r="44">
      <c r="A44" s="6" t="n"/>
      <c r="B44" s="6" t="n"/>
      <c r="C44" s="6" t="n"/>
      <c r="D44" s="7" t="n"/>
      <c r="E44" s="8">
        <f>IF(B44="Meals",50,IF(B44="","",100))</f>
        <v/>
      </c>
      <c r="F44" s="7">
        <f>IF(OR(D44="",B44=""),"",D44*(E44/100))</f>
        <v/>
      </c>
      <c r="G44" s="6" t="n"/>
    </row>
    <row r="45">
      <c r="A45" s="6" t="n"/>
      <c r="B45" s="6" t="n"/>
      <c r="C45" s="6" t="n"/>
      <c r="D45" s="7" t="n"/>
      <c r="E45" s="8">
        <f>IF(B45="Meals",50,IF(B45="","",100))</f>
        <v/>
      </c>
      <c r="F45" s="7">
        <f>IF(OR(D45="",B45=""),"",D45*(E45/100))</f>
        <v/>
      </c>
      <c r="G45" s="6" t="n"/>
    </row>
    <row r="46">
      <c r="A46" s="6" t="n"/>
      <c r="B46" s="6" t="n"/>
      <c r="C46" s="6" t="n"/>
      <c r="D46" s="7" t="n"/>
      <c r="E46" s="8">
        <f>IF(B46="Meals",50,IF(B46="","",100))</f>
        <v/>
      </c>
      <c r="F46" s="7">
        <f>IF(OR(D46="",B46=""),"",D46*(E46/100))</f>
        <v/>
      </c>
      <c r="G46" s="6" t="n"/>
    </row>
    <row r="47">
      <c r="A47" s="6" t="n"/>
      <c r="B47" s="6" t="n"/>
      <c r="C47" s="6" t="n"/>
      <c r="D47" s="7" t="n"/>
      <c r="E47" s="8">
        <f>IF(B47="Meals",50,IF(B47="","",100))</f>
        <v/>
      </c>
      <c r="F47" s="7">
        <f>IF(OR(D47="",B47=""),"",D47*(E47/100))</f>
        <v/>
      </c>
      <c r="G47" s="6" t="n"/>
    </row>
    <row r="48">
      <c r="A48" s="6" t="n"/>
      <c r="B48" s="6" t="n"/>
      <c r="C48" s="6" t="n"/>
      <c r="D48" s="7" t="n"/>
      <c r="E48" s="8">
        <f>IF(B48="Meals",50,IF(B48="","",100))</f>
        <v/>
      </c>
      <c r="F48" s="7">
        <f>IF(OR(D48="",B48=""),"",D48*(E48/100))</f>
        <v/>
      </c>
      <c r="G48" s="6" t="n"/>
    </row>
    <row r="49">
      <c r="A49" s="6" t="n"/>
      <c r="B49" s="6" t="n"/>
      <c r="C49" s="6" t="n"/>
      <c r="D49" s="7" t="n"/>
      <c r="E49" s="8">
        <f>IF(B49="Meals",50,IF(B49="","",100))</f>
        <v/>
      </c>
      <c r="F49" s="7">
        <f>IF(OR(D49="",B49=""),"",D49*(E49/100))</f>
        <v/>
      </c>
      <c r="G49" s="6" t="n"/>
    </row>
    <row r="50">
      <c r="A50" s="6" t="n"/>
      <c r="B50" s="6" t="n"/>
      <c r="C50" s="6" t="n"/>
      <c r="D50" s="7" t="n"/>
      <c r="E50" s="8">
        <f>IF(B50="Meals",50,IF(B50="","",100))</f>
        <v/>
      </c>
      <c r="F50" s="7">
        <f>IF(OR(D50="",B50=""),"",D50*(E50/100))</f>
        <v/>
      </c>
      <c r="G50" s="6" t="n"/>
    </row>
    <row r="51">
      <c r="A51" s="6" t="n"/>
      <c r="B51" s="6" t="n"/>
      <c r="C51" s="6" t="n"/>
      <c r="D51" s="7" t="n"/>
      <c r="E51" s="8">
        <f>IF(B51="Meals",50,IF(B51="","",100))</f>
        <v/>
      </c>
      <c r="F51" s="7">
        <f>IF(OR(D51="",B51=""),"",D51*(E51/100))</f>
        <v/>
      </c>
      <c r="G51" s="6" t="n"/>
    </row>
    <row r="52">
      <c r="A52" s="6" t="n"/>
      <c r="B52" s="6" t="n"/>
      <c r="C52" s="6" t="n"/>
      <c r="D52" s="7" t="n"/>
      <c r="E52" s="8">
        <f>IF(B52="Meals",50,IF(B52="","",100))</f>
        <v/>
      </c>
      <c r="F52" s="7">
        <f>IF(OR(D52="",B52=""),"",D52*(E52/100))</f>
        <v/>
      </c>
      <c r="G52" s="6" t="n"/>
    </row>
    <row r="53">
      <c r="A53" s="6" t="n"/>
      <c r="B53" s="6" t="n"/>
      <c r="C53" s="6" t="n"/>
      <c r="D53" s="7" t="n"/>
      <c r="E53" s="8">
        <f>IF(B53="Meals",50,IF(B53="","",100))</f>
        <v/>
      </c>
      <c r="F53" s="7">
        <f>IF(OR(D53="",B53=""),"",D53*(E53/100))</f>
        <v/>
      </c>
      <c r="G53" s="6" t="n"/>
    </row>
    <row r="54">
      <c r="A54" s="6" t="n"/>
      <c r="B54" s="6" t="n"/>
      <c r="C54" s="6" t="n"/>
      <c r="D54" s="7" t="n"/>
      <c r="E54" s="8">
        <f>IF(B54="Meals",50,IF(B54="","",100))</f>
        <v/>
      </c>
      <c r="F54" s="7">
        <f>IF(OR(D54="",B54=""),"",D54*(E54/100))</f>
        <v/>
      </c>
      <c r="G54" s="6" t="n"/>
    </row>
    <row r="55">
      <c r="A55" s="6" t="n"/>
      <c r="B55" s="6" t="n"/>
      <c r="C55" s="6" t="n"/>
      <c r="D55" s="7" t="n"/>
      <c r="E55" s="8">
        <f>IF(B55="Meals",50,IF(B55="","",100))</f>
        <v/>
      </c>
      <c r="F55" s="7">
        <f>IF(OR(D55="",B55=""),"",D55*(E55/100))</f>
        <v/>
      </c>
      <c r="G55" s="6" t="n"/>
    </row>
    <row r="56">
      <c r="A56" s="6" t="n"/>
      <c r="B56" s="6" t="n"/>
      <c r="C56" s="6" t="n"/>
      <c r="D56" s="7" t="n"/>
      <c r="E56" s="8">
        <f>IF(B56="Meals",50,IF(B56="","",100))</f>
        <v/>
      </c>
      <c r="F56" s="7">
        <f>IF(OR(D56="",B56=""),"",D56*(E56/100))</f>
        <v/>
      </c>
      <c r="G56" s="6" t="n"/>
    </row>
    <row r="57">
      <c r="A57" s="6" t="n"/>
      <c r="B57" s="6" t="n"/>
      <c r="C57" s="6" t="n"/>
      <c r="D57" s="7" t="n"/>
      <c r="E57" s="8">
        <f>IF(B57="Meals",50,IF(B57="","",100))</f>
        <v/>
      </c>
      <c r="F57" s="7">
        <f>IF(OR(D57="",B57=""),"",D57*(E57/100))</f>
        <v/>
      </c>
      <c r="G57" s="6" t="n"/>
    </row>
    <row r="58">
      <c r="A58" s="6" t="n"/>
      <c r="B58" s="6" t="n"/>
      <c r="C58" s="6" t="n"/>
      <c r="D58" s="7" t="n"/>
      <c r="E58" s="8">
        <f>IF(B58="Meals",50,IF(B58="","",100))</f>
        <v/>
      </c>
      <c r="F58" s="7">
        <f>IF(OR(D58="",B58=""),"",D58*(E58/100))</f>
        <v/>
      </c>
      <c r="G58" s="6" t="n"/>
    </row>
    <row r="59">
      <c r="A59" s="6" t="n"/>
      <c r="B59" s="6" t="n"/>
      <c r="C59" s="6" t="n"/>
      <c r="D59" s="7" t="n"/>
      <c r="E59" s="8">
        <f>IF(B59="Meals",50,IF(B59="","",100))</f>
        <v/>
      </c>
      <c r="F59" s="7">
        <f>IF(OR(D59="",B59=""),"",D59*(E59/100))</f>
        <v/>
      </c>
      <c r="G59" s="6" t="n"/>
    </row>
    <row r="60">
      <c r="A60" s="6" t="n"/>
      <c r="B60" s="6" t="n"/>
      <c r="C60" s="6" t="n"/>
      <c r="D60" s="7" t="n"/>
      <c r="E60" s="8">
        <f>IF(B60="Meals",50,IF(B60="","",100))</f>
        <v/>
      </c>
      <c r="F60" s="7">
        <f>IF(OR(D60="",B60=""),"",D60*(E60/100))</f>
        <v/>
      </c>
      <c r="G60" s="6" t="n"/>
    </row>
    <row r="61">
      <c r="A61" s="6" t="n"/>
      <c r="B61" s="6" t="n"/>
      <c r="C61" s="6" t="n"/>
      <c r="D61" s="7" t="n"/>
      <c r="E61" s="8">
        <f>IF(B61="Meals",50,IF(B61="","",100))</f>
        <v/>
      </c>
      <c r="F61" s="7">
        <f>IF(OR(D61="",B61=""),"",D61*(E61/100))</f>
        <v/>
      </c>
      <c r="G61" s="6" t="n"/>
    </row>
    <row r="62">
      <c r="A62" s="6" t="n"/>
      <c r="B62" s="6" t="n"/>
      <c r="C62" s="6" t="n"/>
      <c r="D62" s="7" t="n"/>
      <c r="E62" s="8">
        <f>IF(B62="Meals",50,IF(B62="","",100))</f>
        <v/>
      </c>
      <c r="F62" s="7">
        <f>IF(OR(D62="",B62=""),"",D62*(E62/100))</f>
        <v/>
      </c>
      <c r="G62" s="6" t="n"/>
    </row>
    <row r="63">
      <c r="A63" s="6" t="n"/>
      <c r="B63" s="6" t="n"/>
      <c r="C63" s="6" t="n"/>
      <c r="D63" s="7" t="n"/>
      <c r="E63" s="8">
        <f>IF(B63="Meals",50,IF(B63="","",100))</f>
        <v/>
      </c>
      <c r="F63" s="7">
        <f>IF(OR(D63="",B63=""),"",D63*(E63/100))</f>
        <v/>
      </c>
      <c r="G63" s="6" t="n"/>
    </row>
    <row r="64">
      <c r="A64" s="6" t="n"/>
      <c r="B64" s="6" t="n"/>
      <c r="C64" s="6" t="n"/>
      <c r="D64" s="7" t="n"/>
      <c r="E64" s="8">
        <f>IF(B64="Meals",50,IF(B64="","",100))</f>
        <v/>
      </c>
      <c r="F64" s="7">
        <f>IF(OR(D64="",B64=""),"",D64*(E64/100))</f>
        <v/>
      </c>
      <c r="G64" s="6" t="n"/>
    </row>
    <row r="65">
      <c r="A65" s="6" t="n"/>
      <c r="B65" s="6" t="n"/>
      <c r="C65" s="6" t="n"/>
      <c r="D65" s="7" t="n"/>
      <c r="E65" s="8">
        <f>IF(B65="Meals",50,IF(B65="","",100))</f>
        <v/>
      </c>
      <c r="F65" s="7">
        <f>IF(OR(D65="",B65=""),"",D65*(E65/100))</f>
        <v/>
      </c>
      <c r="G65" s="6" t="n"/>
    </row>
    <row r="66">
      <c r="A66" s="6" t="n"/>
      <c r="B66" s="6" t="n"/>
      <c r="C66" s="6" t="n"/>
      <c r="D66" s="7" t="n"/>
      <c r="E66" s="8">
        <f>IF(B66="Meals",50,IF(B66="","",100))</f>
        <v/>
      </c>
      <c r="F66" s="7">
        <f>IF(OR(D66="",B66=""),"",D66*(E66/100))</f>
        <v/>
      </c>
      <c r="G66" s="6" t="n"/>
    </row>
    <row r="67">
      <c r="A67" s="6" t="n"/>
      <c r="B67" s="6" t="n"/>
      <c r="C67" s="6" t="n"/>
      <c r="D67" s="7" t="n"/>
      <c r="E67" s="8">
        <f>IF(B67="Meals",50,IF(B67="","",100))</f>
        <v/>
      </c>
      <c r="F67" s="7">
        <f>IF(OR(D67="",B67=""),"",D67*(E67/100))</f>
        <v/>
      </c>
      <c r="G67" s="6" t="n"/>
    </row>
    <row r="68">
      <c r="A68" s="6" t="n"/>
      <c r="B68" s="6" t="n"/>
      <c r="C68" s="6" t="n"/>
      <c r="D68" s="7" t="n"/>
      <c r="E68" s="8">
        <f>IF(B68="Meals",50,IF(B68="","",100))</f>
        <v/>
      </c>
      <c r="F68" s="7">
        <f>IF(OR(D68="",B68=""),"",D68*(E68/100))</f>
        <v/>
      </c>
      <c r="G68" s="6" t="n"/>
    </row>
    <row r="69">
      <c r="A69" s="6" t="n"/>
      <c r="B69" s="6" t="n"/>
      <c r="C69" s="6" t="n"/>
      <c r="D69" s="7" t="n"/>
      <c r="E69" s="8">
        <f>IF(B69="Meals",50,IF(B69="","",100))</f>
        <v/>
      </c>
      <c r="F69" s="7">
        <f>IF(OR(D69="",B69=""),"",D69*(E69/100))</f>
        <v/>
      </c>
      <c r="G69" s="6" t="n"/>
    </row>
    <row r="70">
      <c r="A70" s="6" t="n"/>
      <c r="B70" s="6" t="n"/>
      <c r="C70" s="6" t="n"/>
      <c r="D70" s="7" t="n"/>
      <c r="E70" s="8">
        <f>IF(B70="Meals",50,IF(B70="","",100))</f>
        <v/>
      </c>
      <c r="F70" s="7">
        <f>IF(OR(D70="",B70=""),"",D70*(E70/100))</f>
        <v/>
      </c>
      <c r="G70" s="6" t="n"/>
    </row>
    <row r="71">
      <c r="A71" s="6" t="n"/>
      <c r="B71" s="6" t="n"/>
      <c r="C71" s="6" t="n"/>
      <c r="D71" s="7" t="n"/>
      <c r="E71" s="8">
        <f>IF(B71="Meals",50,IF(B71="","",100))</f>
        <v/>
      </c>
      <c r="F71" s="7">
        <f>IF(OR(D71="",B71=""),"",D71*(E71/100))</f>
        <v/>
      </c>
      <c r="G71" s="6" t="n"/>
    </row>
    <row r="72">
      <c r="A72" s="6" t="n"/>
      <c r="B72" s="6" t="n"/>
      <c r="C72" s="6" t="n"/>
      <c r="D72" s="7" t="n"/>
      <c r="E72" s="8">
        <f>IF(B72="Meals",50,IF(B72="","",100))</f>
        <v/>
      </c>
      <c r="F72" s="7">
        <f>IF(OR(D72="",B72=""),"",D72*(E72/100))</f>
        <v/>
      </c>
      <c r="G72" s="6" t="n"/>
    </row>
    <row r="73">
      <c r="A73" s="6" t="n"/>
      <c r="B73" s="6" t="n"/>
      <c r="C73" s="6" t="n"/>
      <c r="D73" s="7" t="n"/>
      <c r="E73" s="8">
        <f>IF(B73="Meals",50,IF(B73="","",100))</f>
        <v/>
      </c>
      <c r="F73" s="7">
        <f>IF(OR(D73="",B73=""),"",D73*(E73/100))</f>
        <v/>
      </c>
      <c r="G73" s="6" t="n"/>
    </row>
    <row r="74">
      <c r="A74" s="6" t="n"/>
      <c r="B74" s="6" t="n"/>
      <c r="C74" s="6" t="n"/>
      <c r="D74" s="7" t="n"/>
      <c r="E74" s="8">
        <f>IF(B74="Meals",50,IF(B74="","",100))</f>
        <v/>
      </c>
      <c r="F74" s="7">
        <f>IF(OR(D74="",B74=""),"",D74*(E74/100))</f>
        <v/>
      </c>
      <c r="G74" s="6" t="n"/>
    </row>
    <row r="75">
      <c r="A75" s="6" t="n"/>
      <c r="B75" s="6" t="n"/>
      <c r="C75" s="6" t="n"/>
      <c r="D75" s="7" t="n"/>
      <c r="E75" s="8">
        <f>IF(B75="Meals",50,IF(B75="","",100))</f>
        <v/>
      </c>
      <c r="F75" s="7">
        <f>IF(OR(D75="",B75=""),"",D75*(E75/100))</f>
        <v/>
      </c>
      <c r="G75" s="6" t="n"/>
    </row>
    <row r="76">
      <c r="A76" s="6" t="n"/>
      <c r="B76" s="6" t="n"/>
      <c r="C76" s="6" t="n"/>
      <c r="D76" s="7" t="n"/>
      <c r="E76" s="8">
        <f>IF(B76="Meals",50,IF(B76="","",100))</f>
        <v/>
      </c>
      <c r="F76" s="7">
        <f>IF(OR(D76="",B76=""),"",D76*(E76/100))</f>
        <v/>
      </c>
      <c r="G76" s="6" t="n"/>
    </row>
    <row r="77">
      <c r="A77" s="6" t="n"/>
      <c r="B77" s="6" t="n"/>
      <c r="C77" s="6" t="n"/>
      <c r="D77" s="7" t="n"/>
      <c r="E77" s="8">
        <f>IF(B77="Meals",50,IF(B77="","",100))</f>
        <v/>
      </c>
      <c r="F77" s="7">
        <f>IF(OR(D77="",B77=""),"",D77*(E77/100))</f>
        <v/>
      </c>
      <c r="G77" s="6" t="n"/>
    </row>
    <row r="78">
      <c r="A78" s="6" t="n"/>
      <c r="B78" s="6" t="n"/>
      <c r="C78" s="6" t="n"/>
      <c r="D78" s="7" t="n"/>
      <c r="E78" s="8">
        <f>IF(B78="Meals",50,IF(B78="","",100))</f>
        <v/>
      </c>
      <c r="F78" s="7">
        <f>IF(OR(D78="",B78=""),"",D78*(E78/100))</f>
        <v/>
      </c>
      <c r="G78" s="6" t="n"/>
    </row>
    <row r="79">
      <c r="A79" s="6" t="n"/>
      <c r="B79" s="6" t="n"/>
      <c r="C79" s="6" t="n"/>
      <c r="D79" s="7" t="n"/>
      <c r="E79" s="8">
        <f>IF(B79="Meals",50,IF(B79="","",100))</f>
        <v/>
      </c>
      <c r="F79" s="7">
        <f>IF(OR(D79="",B79=""),"",D79*(E79/100))</f>
        <v/>
      </c>
      <c r="G79" s="6" t="n"/>
    </row>
    <row r="80">
      <c r="A80" s="6" t="n"/>
      <c r="B80" s="6" t="n"/>
      <c r="C80" s="6" t="n"/>
      <c r="D80" s="7" t="n"/>
      <c r="E80" s="8">
        <f>IF(B80="Meals",50,IF(B80="","",100))</f>
        <v/>
      </c>
      <c r="F80" s="7">
        <f>IF(OR(D80="",B80=""),"",D80*(E80/100))</f>
        <v/>
      </c>
      <c r="G80" s="6" t="n"/>
    </row>
    <row r="81">
      <c r="A81" s="6" t="n"/>
      <c r="B81" s="6" t="n"/>
      <c r="C81" s="6" t="n"/>
      <c r="D81" s="7" t="n"/>
      <c r="E81" s="8">
        <f>IF(B81="Meals",50,IF(B81="","",100))</f>
        <v/>
      </c>
      <c r="F81" s="7">
        <f>IF(OR(D81="",B81=""),"",D81*(E81/100))</f>
        <v/>
      </c>
      <c r="G81" s="6" t="n"/>
    </row>
    <row r="82">
      <c r="A82" s="6" t="n"/>
      <c r="B82" s="6" t="n"/>
      <c r="C82" s="6" t="n"/>
      <c r="D82" s="7" t="n"/>
      <c r="E82" s="8">
        <f>IF(B82="Meals",50,IF(B82="","",100))</f>
        <v/>
      </c>
      <c r="F82" s="7">
        <f>IF(OR(D82="",B82=""),"",D82*(E82/100))</f>
        <v/>
      </c>
      <c r="G82" s="6" t="n"/>
    </row>
    <row r="83">
      <c r="A83" s="6" t="n"/>
      <c r="B83" s="6" t="n"/>
      <c r="C83" s="6" t="n"/>
      <c r="D83" s="7" t="n"/>
      <c r="E83" s="8">
        <f>IF(B83="Meals",50,IF(B83="","",100))</f>
        <v/>
      </c>
      <c r="F83" s="7">
        <f>IF(OR(D83="",B83=""),"",D83*(E83/100))</f>
        <v/>
      </c>
      <c r="G83" s="6" t="n"/>
    </row>
    <row r="84">
      <c r="A84" s="6" t="n"/>
      <c r="B84" s="6" t="n"/>
      <c r="C84" s="6" t="n"/>
      <c r="D84" s="7" t="n"/>
      <c r="E84" s="8">
        <f>IF(B84="Meals",50,IF(B84="","",100))</f>
        <v/>
      </c>
      <c r="F84" s="7">
        <f>IF(OR(D84="",B84=""),"",D84*(E84/100))</f>
        <v/>
      </c>
      <c r="G84" s="6" t="n"/>
    </row>
    <row r="85">
      <c r="A85" s="6" t="n"/>
      <c r="B85" s="6" t="n"/>
      <c r="C85" s="6" t="n"/>
      <c r="D85" s="7" t="n"/>
      <c r="E85" s="8">
        <f>IF(B85="Meals",50,IF(B85="","",100))</f>
        <v/>
      </c>
      <c r="F85" s="7">
        <f>IF(OR(D85="",B85=""),"",D85*(E85/100))</f>
        <v/>
      </c>
      <c r="G85" s="6" t="n"/>
    </row>
    <row r="86">
      <c r="A86" s="6" t="n"/>
      <c r="B86" s="6" t="n"/>
      <c r="C86" s="6" t="n"/>
      <c r="D86" s="7" t="n"/>
      <c r="E86" s="8">
        <f>IF(B86="Meals",50,IF(B86="","",100))</f>
        <v/>
      </c>
      <c r="F86" s="7">
        <f>IF(OR(D86="",B86=""),"",D86*(E86/100))</f>
        <v/>
      </c>
      <c r="G86" s="6" t="n"/>
    </row>
    <row r="87">
      <c r="A87" s="6" t="n"/>
      <c r="B87" s="6" t="n"/>
      <c r="C87" s="6" t="n"/>
      <c r="D87" s="7" t="n"/>
      <c r="E87" s="8">
        <f>IF(B87="Meals",50,IF(B87="","",100))</f>
        <v/>
      </c>
      <c r="F87" s="7">
        <f>IF(OR(D87="",B87=""),"",D87*(E87/100))</f>
        <v/>
      </c>
      <c r="G87" s="6" t="n"/>
    </row>
    <row r="88">
      <c r="A88" s="6" t="n"/>
      <c r="B88" s="6" t="n"/>
      <c r="C88" s="6" t="n"/>
      <c r="D88" s="7" t="n"/>
      <c r="E88" s="8">
        <f>IF(B88="Meals",50,IF(B88="","",100))</f>
        <v/>
      </c>
      <c r="F88" s="7">
        <f>IF(OR(D88="",B88=""),"",D88*(E88/100))</f>
        <v/>
      </c>
      <c r="G88" s="6" t="n"/>
    </row>
    <row r="89">
      <c r="A89" s="6" t="n"/>
      <c r="B89" s="6" t="n"/>
      <c r="C89" s="6" t="n"/>
      <c r="D89" s="7" t="n"/>
      <c r="E89" s="8">
        <f>IF(B89="Meals",50,IF(B89="","",100))</f>
        <v/>
      </c>
      <c r="F89" s="7">
        <f>IF(OR(D89="",B89=""),"",D89*(E89/100))</f>
        <v/>
      </c>
      <c r="G89" s="6" t="n"/>
    </row>
    <row r="90">
      <c r="A90" s="6" t="n"/>
      <c r="B90" s="6" t="n"/>
      <c r="C90" s="6" t="n"/>
      <c r="D90" s="7" t="n"/>
      <c r="E90" s="8">
        <f>IF(B90="Meals",50,IF(B90="","",100))</f>
        <v/>
      </c>
      <c r="F90" s="7">
        <f>IF(OR(D90="",B90=""),"",D90*(E90/100))</f>
        <v/>
      </c>
      <c r="G90" s="6" t="n"/>
    </row>
    <row r="91">
      <c r="A91" s="6" t="n"/>
      <c r="B91" s="6" t="n"/>
      <c r="C91" s="6" t="n"/>
      <c r="D91" s="7" t="n"/>
      <c r="E91" s="8">
        <f>IF(B91="Meals",50,IF(B91="","",100))</f>
        <v/>
      </c>
      <c r="F91" s="7">
        <f>IF(OR(D91="",B91=""),"",D91*(E91/100))</f>
        <v/>
      </c>
      <c r="G91" s="6" t="n"/>
    </row>
    <row r="92">
      <c r="A92" s="6" t="n"/>
      <c r="B92" s="6" t="n"/>
      <c r="C92" s="6" t="n"/>
      <c r="D92" s="7" t="n"/>
      <c r="E92" s="8">
        <f>IF(B92="Meals",50,IF(B92="","",100))</f>
        <v/>
      </c>
      <c r="F92" s="7">
        <f>IF(OR(D92="",B92=""),"",D92*(E92/100))</f>
        <v/>
      </c>
      <c r="G92" s="6" t="n"/>
    </row>
    <row r="93">
      <c r="A93" s="6" t="n"/>
      <c r="B93" s="6" t="n"/>
      <c r="C93" s="6" t="n"/>
      <c r="D93" s="7" t="n"/>
      <c r="E93" s="8">
        <f>IF(B93="Meals",50,IF(B93="","",100))</f>
        <v/>
      </c>
      <c r="F93" s="7">
        <f>IF(OR(D93="",B93=""),"",D93*(E93/100))</f>
        <v/>
      </c>
      <c r="G93" s="6" t="n"/>
    </row>
    <row r="94">
      <c r="A94" s="6" t="n"/>
      <c r="B94" s="6" t="n"/>
      <c r="C94" s="6" t="n"/>
      <c r="D94" s="7" t="n"/>
      <c r="E94" s="8">
        <f>IF(B94="Meals",50,IF(B94="","",100))</f>
        <v/>
      </c>
      <c r="F94" s="7">
        <f>IF(OR(D94="",B94=""),"",D94*(E94/100))</f>
        <v/>
      </c>
      <c r="G94" s="6" t="n"/>
    </row>
    <row r="95">
      <c r="A95" s="6" t="n"/>
      <c r="B95" s="6" t="n"/>
      <c r="C95" s="6" t="n"/>
      <c r="D95" s="7" t="n"/>
      <c r="E95" s="8">
        <f>IF(B95="Meals",50,IF(B95="","",100))</f>
        <v/>
      </c>
      <c r="F95" s="7">
        <f>IF(OR(D95="",B95=""),"",D95*(E95/100))</f>
        <v/>
      </c>
      <c r="G95" s="6" t="n"/>
    </row>
    <row r="96">
      <c r="A96" s="6" t="n"/>
      <c r="B96" s="6" t="n"/>
      <c r="C96" s="6" t="n"/>
      <c r="D96" s="7" t="n"/>
      <c r="E96" s="8">
        <f>IF(B96="Meals",50,IF(B96="","",100))</f>
        <v/>
      </c>
      <c r="F96" s="7">
        <f>IF(OR(D96="",B96=""),"",D96*(E96/100))</f>
        <v/>
      </c>
      <c r="G96" s="6" t="n"/>
    </row>
    <row r="97">
      <c r="A97" s="6" t="n"/>
      <c r="B97" s="6" t="n"/>
      <c r="C97" s="6" t="n"/>
      <c r="D97" s="7" t="n"/>
      <c r="E97" s="8">
        <f>IF(B97="Meals",50,IF(B97="","",100))</f>
        <v/>
      </c>
      <c r="F97" s="7">
        <f>IF(OR(D97="",B97=""),"",D97*(E97/100))</f>
        <v/>
      </c>
      <c r="G97" s="6" t="n"/>
    </row>
    <row r="98">
      <c r="A98" s="6" t="n"/>
      <c r="B98" s="6" t="n"/>
      <c r="C98" s="6" t="n"/>
      <c r="D98" s="7" t="n"/>
      <c r="E98" s="8">
        <f>IF(B98="Meals",50,IF(B98="","",100))</f>
        <v/>
      </c>
      <c r="F98" s="7">
        <f>IF(OR(D98="",B98=""),"",D98*(E98/100))</f>
        <v/>
      </c>
      <c r="G98" s="6" t="n"/>
    </row>
    <row r="99">
      <c r="A99" s="6" t="n"/>
      <c r="B99" s="6" t="n"/>
      <c r="C99" s="6" t="n"/>
      <c r="D99" s="7" t="n"/>
      <c r="E99" s="8">
        <f>IF(B99="Meals",50,IF(B99="","",100))</f>
        <v/>
      </c>
      <c r="F99" s="7">
        <f>IF(OR(D99="",B99=""),"",D99*(E99/100))</f>
        <v/>
      </c>
      <c r="G99" s="6" t="n"/>
    </row>
    <row r="100">
      <c r="A100" s="6" t="n"/>
      <c r="B100" s="6" t="n"/>
      <c r="C100" s="6" t="n"/>
      <c r="D100" s="7" t="n"/>
      <c r="E100" s="8">
        <f>IF(B100="Meals",50,IF(B100="","",100))</f>
        <v/>
      </c>
      <c r="F100" s="7">
        <f>IF(OR(D100="",B100=""),"",D100*(E100/100))</f>
        <v/>
      </c>
      <c r="G100" s="6" t="n"/>
    </row>
    <row r="101">
      <c r="A101" s="6" t="n"/>
      <c r="B101" s="6" t="n"/>
      <c r="C101" s="6" t="n"/>
      <c r="D101" s="7" t="n"/>
      <c r="E101" s="8">
        <f>IF(B101="Meals",50,IF(B101="","",100))</f>
        <v/>
      </c>
      <c r="F101" s="7">
        <f>IF(OR(D101="",B101=""),"",D101*(E101/100))</f>
        <v/>
      </c>
      <c r="G101" s="6" t="n"/>
    </row>
    <row r="102">
      <c r="A102" s="6" t="n"/>
      <c r="B102" s="6" t="n"/>
      <c r="C102" s="6" t="n"/>
      <c r="D102" s="7" t="n"/>
      <c r="E102" s="8">
        <f>IF(B102="Meals",50,IF(B102="","",100))</f>
        <v/>
      </c>
      <c r="F102" s="7">
        <f>IF(OR(D102="",B102=""),"",D102*(E102/100))</f>
        <v/>
      </c>
      <c r="G102" s="6" t="n"/>
    </row>
    <row r="103">
      <c r="A103" s="6" t="n"/>
      <c r="B103" s="6" t="n"/>
      <c r="C103" s="6" t="n"/>
      <c r="D103" s="7" t="n"/>
      <c r="E103" s="8">
        <f>IF(B103="Meals",50,IF(B103="","",100))</f>
        <v/>
      </c>
      <c r="F103" s="7">
        <f>IF(OR(D103="",B103=""),"",D103*(E103/100))</f>
        <v/>
      </c>
      <c r="G103" s="6" t="n"/>
    </row>
    <row r="104">
      <c r="A104" s="6" t="n"/>
      <c r="B104" s="6" t="n"/>
      <c r="C104" s="6" t="n"/>
      <c r="D104" s="7" t="n"/>
      <c r="E104" s="8">
        <f>IF(B104="Meals",50,IF(B104="","",100))</f>
        <v/>
      </c>
      <c r="F104" s="7">
        <f>IF(OR(D104="",B104=""),"",D104*(E104/100))</f>
        <v/>
      </c>
      <c r="G104" s="6" t="n"/>
    </row>
    <row r="105">
      <c r="A105" s="6" t="n"/>
      <c r="B105" s="6" t="n"/>
      <c r="C105" s="6" t="n"/>
      <c r="D105" s="7" t="n"/>
      <c r="E105" s="8">
        <f>IF(B105="Meals",50,IF(B105="","",100))</f>
        <v/>
      </c>
      <c r="F105" s="7">
        <f>IF(OR(D105="",B105=""),"",D105*(E105/100))</f>
        <v/>
      </c>
      <c r="G105" s="6" t="n"/>
    </row>
    <row r="106">
      <c r="A106" s="6" t="n"/>
      <c r="B106" s="6" t="n"/>
      <c r="C106" s="6" t="n"/>
      <c r="D106" s="7" t="n"/>
      <c r="E106" s="8">
        <f>IF(B106="Meals",50,IF(B106="","",100))</f>
        <v/>
      </c>
      <c r="F106" s="7">
        <f>IF(OR(D106="",B106=""),"",D106*(E106/100))</f>
        <v/>
      </c>
      <c r="G106" s="6" t="n"/>
    </row>
    <row r="107">
      <c r="A107" s="6" t="n"/>
      <c r="B107" s="6" t="n"/>
      <c r="C107" s="6" t="n"/>
      <c r="D107" s="7" t="n"/>
      <c r="E107" s="8">
        <f>IF(B107="Meals",50,IF(B107="","",100))</f>
        <v/>
      </c>
      <c r="F107" s="7">
        <f>IF(OR(D107="",B107=""),"",D107*(E107/100))</f>
        <v/>
      </c>
      <c r="G107" s="6" t="n"/>
    </row>
    <row r="108">
      <c r="A108" s="6" t="n"/>
      <c r="B108" s="6" t="n"/>
      <c r="C108" s="6" t="n"/>
      <c r="D108" s="7" t="n"/>
      <c r="E108" s="8">
        <f>IF(B108="Meals",50,IF(B108="","",100))</f>
        <v/>
      </c>
      <c r="F108" s="7">
        <f>IF(OR(D108="",B108=""),"",D108*(E108/100))</f>
        <v/>
      </c>
      <c r="G108" s="6" t="n"/>
    </row>
    <row r="109">
      <c r="A109" s="6" t="n"/>
      <c r="B109" s="6" t="n"/>
      <c r="C109" s="6" t="n"/>
      <c r="D109" s="7" t="n"/>
      <c r="E109" s="8">
        <f>IF(B109="Meals",50,IF(B109="","",100))</f>
        <v/>
      </c>
      <c r="F109" s="7">
        <f>IF(OR(D109="",B109=""),"",D109*(E109/100))</f>
        <v/>
      </c>
      <c r="G109" s="6" t="n"/>
    </row>
    <row r="110">
      <c r="A110" s="6" t="n"/>
      <c r="B110" s="6" t="n"/>
      <c r="C110" s="6" t="n"/>
      <c r="D110" s="7" t="n"/>
      <c r="E110" s="8">
        <f>IF(B110="Meals",50,IF(B110="","",100))</f>
        <v/>
      </c>
      <c r="F110" s="7">
        <f>IF(OR(D110="",B110=""),"",D110*(E110/100))</f>
        <v/>
      </c>
      <c r="G110" s="6" t="n"/>
    </row>
    <row r="111">
      <c r="A111" s="6" t="n"/>
      <c r="B111" s="6" t="n"/>
      <c r="C111" s="6" t="n"/>
      <c r="D111" s="7" t="n"/>
      <c r="E111" s="8">
        <f>IF(B111="Meals",50,IF(B111="","",100))</f>
        <v/>
      </c>
      <c r="F111" s="7">
        <f>IF(OR(D111="",B111=""),"",D111*(E111/100))</f>
        <v/>
      </c>
      <c r="G111" s="6" t="n"/>
    </row>
    <row r="112">
      <c r="A112" s="6" t="n"/>
      <c r="B112" s="6" t="n"/>
      <c r="C112" s="6" t="n"/>
      <c r="D112" s="7" t="n"/>
      <c r="E112" s="8">
        <f>IF(B112="Meals",50,IF(B112="","",100))</f>
        <v/>
      </c>
      <c r="F112" s="7">
        <f>IF(OR(D112="",B112=""),"",D112*(E112/100))</f>
        <v/>
      </c>
      <c r="G112" s="6" t="n"/>
    </row>
    <row r="113">
      <c r="A113" s="6" t="n"/>
      <c r="B113" s="6" t="n"/>
      <c r="C113" s="6" t="n"/>
      <c r="D113" s="7" t="n"/>
      <c r="E113" s="8">
        <f>IF(B113="Meals",50,IF(B113="","",100))</f>
        <v/>
      </c>
      <c r="F113" s="7">
        <f>IF(OR(D113="",B113=""),"",D113*(E113/100))</f>
        <v/>
      </c>
      <c r="G113" s="6" t="n"/>
    </row>
    <row r="114">
      <c r="A114" s="6" t="n"/>
      <c r="B114" s="6" t="n"/>
      <c r="C114" s="6" t="n"/>
      <c r="D114" s="7" t="n"/>
      <c r="E114" s="8">
        <f>IF(B114="Meals",50,IF(B114="","",100))</f>
        <v/>
      </c>
      <c r="F114" s="7">
        <f>IF(OR(D114="",B114=""),"",D114*(E114/100))</f>
        <v/>
      </c>
      <c r="G114" s="6" t="n"/>
    </row>
    <row r="115">
      <c r="A115" s="6" t="n"/>
      <c r="B115" s="6" t="n"/>
      <c r="C115" s="6" t="n"/>
      <c r="D115" s="7" t="n"/>
      <c r="E115" s="8">
        <f>IF(B115="Meals",50,IF(B115="","",100))</f>
        <v/>
      </c>
      <c r="F115" s="7">
        <f>IF(OR(D115="",B115=""),"",D115*(E115/100))</f>
        <v/>
      </c>
      <c r="G115" s="6" t="n"/>
    </row>
    <row r="116">
      <c r="A116" s="6" t="n"/>
      <c r="B116" s="6" t="n"/>
      <c r="C116" s="6" t="n"/>
      <c r="D116" s="7" t="n"/>
      <c r="E116" s="8">
        <f>IF(B116="Meals",50,IF(B116="","",100))</f>
        <v/>
      </c>
      <c r="F116" s="7">
        <f>IF(OR(D116="",B116=""),"",D116*(E116/100))</f>
        <v/>
      </c>
      <c r="G116" s="6" t="n"/>
    </row>
    <row r="117">
      <c r="A117" s="6" t="n"/>
      <c r="B117" s="6" t="n"/>
      <c r="C117" s="6" t="n"/>
      <c r="D117" s="7" t="n"/>
      <c r="E117" s="8">
        <f>IF(B117="Meals",50,IF(B117="","",100))</f>
        <v/>
      </c>
      <c r="F117" s="7">
        <f>IF(OR(D117="",B117=""),"",D117*(E117/100))</f>
        <v/>
      </c>
      <c r="G117" s="6" t="n"/>
    </row>
    <row r="118">
      <c r="A118" s="6" t="n"/>
      <c r="B118" s="6" t="n"/>
      <c r="C118" s="6" t="n"/>
      <c r="D118" s="7" t="n"/>
      <c r="E118" s="8">
        <f>IF(B118="Meals",50,IF(B118="","",100))</f>
        <v/>
      </c>
      <c r="F118" s="7">
        <f>IF(OR(D118="",B118=""),"",D118*(E118/100))</f>
        <v/>
      </c>
      <c r="G118" s="6" t="n"/>
    </row>
    <row r="119">
      <c r="A119" s="6" t="n"/>
      <c r="B119" s="6" t="n"/>
      <c r="C119" s="6" t="n"/>
      <c r="D119" s="7" t="n"/>
      <c r="E119" s="8">
        <f>IF(B119="Meals",50,IF(B119="","",100))</f>
        <v/>
      </c>
      <c r="F119" s="7">
        <f>IF(OR(D119="",B119=""),"",D119*(E119/100))</f>
        <v/>
      </c>
      <c r="G119" s="6" t="n"/>
    </row>
    <row r="120">
      <c r="A120" s="6" t="n"/>
      <c r="B120" s="6" t="n"/>
      <c r="C120" s="6" t="n"/>
      <c r="D120" s="7" t="n"/>
      <c r="E120" s="8">
        <f>IF(B120="Meals",50,IF(B120="","",100))</f>
        <v/>
      </c>
      <c r="F120" s="7">
        <f>IF(OR(D120="",B120=""),"",D120*(E120/100))</f>
        <v/>
      </c>
      <c r="G120" s="6" t="n"/>
    </row>
    <row r="121">
      <c r="A121" s="6" t="n"/>
      <c r="B121" s="6" t="n"/>
      <c r="C121" s="6" t="n"/>
      <c r="D121" s="7" t="n"/>
      <c r="E121" s="8">
        <f>IF(B121="Meals",50,IF(B121="","",100))</f>
        <v/>
      </c>
      <c r="F121" s="7">
        <f>IF(OR(D121="",B121=""),"",D121*(E121/100))</f>
        <v/>
      </c>
      <c r="G121" s="6" t="n"/>
    </row>
    <row r="122">
      <c r="A122" s="6" t="n"/>
      <c r="B122" s="6" t="n"/>
      <c r="C122" s="6" t="n"/>
      <c r="D122" s="7" t="n"/>
      <c r="E122" s="8">
        <f>IF(B122="Meals",50,IF(B122="","",100))</f>
        <v/>
      </c>
      <c r="F122" s="7">
        <f>IF(OR(D122="",B122=""),"",D122*(E122/100))</f>
        <v/>
      </c>
      <c r="G122" s="6" t="n"/>
    </row>
    <row r="123">
      <c r="A123" s="6" t="n"/>
      <c r="B123" s="6" t="n"/>
      <c r="C123" s="6" t="n"/>
      <c r="D123" s="7" t="n"/>
      <c r="E123" s="8">
        <f>IF(B123="Meals",50,IF(B123="","",100))</f>
        <v/>
      </c>
      <c r="F123" s="7">
        <f>IF(OR(D123="",B123=""),"",D123*(E123/100))</f>
        <v/>
      </c>
      <c r="G123" s="6" t="n"/>
    </row>
    <row r="124">
      <c r="A124" s="6" t="n"/>
      <c r="B124" s="6" t="n"/>
      <c r="C124" s="6" t="n"/>
      <c r="D124" s="7" t="n"/>
      <c r="E124" s="8">
        <f>IF(B124="Meals",50,IF(B124="","",100))</f>
        <v/>
      </c>
      <c r="F124" s="7">
        <f>IF(OR(D124="",B124=""),"",D124*(E124/100))</f>
        <v/>
      </c>
      <c r="G124" s="6" t="n"/>
    </row>
    <row r="125">
      <c r="A125" s="6" t="n"/>
      <c r="B125" s="6" t="n"/>
      <c r="C125" s="6" t="n"/>
      <c r="D125" s="7" t="n"/>
      <c r="E125" s="8">
        <f>IF(B125="Meals",50,IF(B125="","",100))</f>
        <v/>
      </c>
      <c r="F125" s="7">
        <f>IF(OR(D125="",B125=""),"",D125*(E125/100))</f>
        <v/>
      </c>
      <c r="G125" s="6" t="n"/>
    </row>
    <row r="126">
      <c r="A126" s="6" t="n"/>
      <c r="B126" s="6" t="n"/>
      <c r="C126" s="6" t="n"/>
      <c r="D126" s="7" t="n"/>
      <c r="E126" s="8">
        <f>IF(B126="Meals",50,IF(B126="","",100))</f>
        <v/>
      </c>
      <c r="F126" s="7">
        <f>IF(OR(D126="",B126=""),"",D126*(E126/100))</f>
        <v/>
      </c>
      <c r="G126" s="6" t="n"/>
    </row>
    <row r="127">
      <c r="A127" s="6" t="n"/>
      <c r="B127" s="6" t="n"/>
      <c r="C127" s="6" t="n"/>
      <c r="D127" s="7" t="n"/>
      <c r="E127" s="8">
        <f>IF(B127="Meals",50,IF(B127="","",100))</f>
        <v/>
      </c>
      <c r="F127" s="7">
        <f>IF(OR(D127="",B127=""),"",D127*(E127/100))</f>
        <v/>
      </c>
      <c r="G127" s="6" t="n"/>
    </row>
    <row r="128">
      <c r="A128" s="6" t="n"/>
      <c r="B128" s="6" t="n"/>
      <c r="C128" s="6" t="n"/>
      <c r="D128" s="7" t="n"/>
      <c r="E128" s="8">
        <f>IF(B128="Meals",50,IF(B128="","",100))</f>
        <v/>
      </c>
      <c r="F128" s="7">
        <f>IF(OR(D128="",B128=""),"",D128*(E128/100))</f>
        <v/>
      </c>
      <c r="G128" s="6" t="n"/>
    </row>
    <row r="129">
      <c r="A129" s="6" t="n"/>
      <c r="B129" s="6" t="n"/>
      <c r="C129" s="6" t="n"/>
      <c r="D129" s="7" t="n"/>
      <c r="E129" s="8">
        <f>IF(B129="Meals",50,IF(B129="","",100))</f>
        <v/>
      </c>
      <c r="F129" s="7">
        <f>IF(OR(D129="",B129=""),"",D129*(E129/100))</f>
        <v/>
      </c>
      <c r="G129" s="6" t="n"/>
    </row>
    <row r="130">
      <c r="A130" s="6" t="n"/>
      <c r="B130" s="6" t="n"/>
      <c r="C130" s="6" t="n"/>
      <c r="D130" s="7" t="n"/>
      <c r="E130" s="8">
        <f>IF(B130="Meals",50,IF(B130="","",100))</f>
        <v/>
      </c>
      <c r="F130" s="7">
        <f>IF(OR(D130="",B130=""),"",D130*(E130/100))</f>
        <v/>
      </c>
      <c r="G130" s="6" t="n"/>
    </row>
    <row r="131">
      <c r="A131" s="6" t="n"/>
      <c r="B131" s="6" t="n"/>
      <c r="C131" s="6" t="n"/>
      <c r="D131" s="7" t="n"/>
      <c r="E131" s="8">
        <f>IF(B131="Meals",50,IF(B131="","",100))</f>
        <v/>
      </c>
      <c r="F131" s="7">
        <f>IF(OR(D131="",B131=""),"",D131*(E131/100))</f>
        <v/>
      </c>
      <c r="G131" s="6" t="n"/>
    </row>
    <row r="132">
      <c r="A132" s="6" t="n"/>
      <c r="B132" s="6" t="n"/>
      <c r="C132" s="6" t="n"/>
      <c r="D132" s="7" t="n"/>
      <c r="E132" s="8">
        <f>IF(B132="Meals",50,IF(B132="","",100))</f>
        <v/>
      </c>
      <c r="F132" s="7">
        <f>IF(OR(D132="",B132=""),"",D132*(E132/100))</f>
        <v/>
      </c>
      <c r="G132" s="6" t="n"/>
    </row>
    <row r="133">
      <c r="A133" s="6" t="n"/>
      <c r="B133" s="6" t="n"/>
      <c r="C133" s="6" t="n"/>
      <c r="D133" s="7" t="n"/>
      <c r="E133" s="8">
        <f>IF(B133="Meals",50,IF(B133="","",100))</f>
        <v/>
      </c>
      <c r="F133" s="7">
        <f>IF(OR(D133="",B133=""),"",D133*(E133/100))</f>
        <v/>
      </c>
      <c r="G133" s="6" t="n"/>
    </row>
    <row r="134">
      <c r="A134" s="6" t="n"/>
      <c r="B134" s="6" t="n"/>
      <c r="C134" s="6" t="n"/>
      <c r="D134" s="7" t="n"/>
      <c r="E134" s="8">
        <f>IF(B134="Meals",50,IF(B134="","",100))</f>
        <v/>
      </c>
      <c r="F134" s="7">
        <f>IF(OR(D134="",B134=""),"",D134*(E134/100))</f>
        <v/>
      </c>
      <c r="G134" s="6" t="n"/>
    </row>
    <row r="135">
      <c r="A135" s="6" t="n"/>
      <c r="B135" s="6" t="n"/>
      <c r="C135" s="6" t="n"/>
      <c r="D135" s="7" t="n"/>
      <c r="E135" s="8">
        <f>IF(B135="Meals",50,IF(B135="","",100))</f>
        <v/>
      </c>
      <c r="F135" s="7">
        <f>IF(OR(D135="",B135=""),"",D135*(E135/100))</f>
        <v/>
      </c>
      <c r="G135" s="6" t="n"/>
    </row>
    <row r="136">
      <c r="A136" s="6" t="n"/>
      <c r="B136" s="6" t="n"/>
      <c r="C136" s="6" t="n"/>
      <c r="D136" s="7" t="n"/>
      <c r="E136" s="8">
        <f>IF(B136="Meals",50,IF(B136="","",100))</f>
        <v/>
      </c>
      <c r="F136" s="7">
        <f>IF(OR(D136="",B136=""),"",D136*(E136/100))</f>
        <v/>
      </c>
      <c r="G136" s="6" t="n"/>
    </row>
    <row r="137">
      <c r="A137" s="6" t="n"/>
      <c r="B137" s="6" t="n"/>
      <c r="C137" s="6" t="n"/>
      <c r="D137" s="7" t="n"/>
      <c r="E137" s="8">
        <f>IF(B137="Meals",50,IF(B137="","",100))</f>
        <v/>
      </c>
      <c r="F137" s="7">
        <f>IF(OR(D137="",B137=""),"",D137*(E137/100))</f>
        <v/>
      </c>
      <c r="G137" s="6" t="n"/>
    </row>
    <row r="138">
      <c r="A138" s="6" t="n"/>
      <c r="B138" s="6" t="n"/>
      <c r="C138" s="6" t="n"/>
      <c r="D138" s="7" t="n"/>
      <c r="E138" s="8">
        <f>IF(B138="Meals",50,IF(B138="","",100))</f>
        <v/>
      </c>
      <c r="F138" s="7">
        <f>IF(OR(D138="",B138=""),"",D138*(E138/100))</f>
        <v/>
      </c>
      <c r="G138" s="6" t="n"/>
    </row>
    <row r="139">
      <c r="A139" s="6" t="n"/>
      <c r="B139" s="6" t="n"/>
      <c r="C139" s="6" t="n"/>
      <c r="D139" s="7" t="n"/>
      <c r="E139" s="8">
        <f>IF(B139="Meals",50,IF(B139="","",100))</f>
        <v/>
      </c>
      <c r="F139" s="7">
        <f>IF(OR(D139="",B139=""),"",D139*(E139/100))</f>
        <v/>
      </c>
      <c r="G139" s="6" t="n"/>
    </row>
    <row r="140">
      <c r="A140" s="6" t="n"/>
      <c r="B140" s="6" t="n"/>
      <c r="C140" s="6" t="n"/>
      <c r="D140" s="7" t="n"/>
      <c r="E140" s="8">
        <f>IF(B140="Meals",50,IF(B140="","",100))</f>
        <v/>
      </c>
      <c r="F140" s="7">
        <f>IF(OR(D140="",B140=""),"",D140*(E140/100))</f>
        <v/>
      </c>
      <c r="G140" s="6" t="n"/>
    </row>
    <row r="141">
      <c r="A141" s="6" t="n"/>
      <c r="B141" s="6" t="n"/>
      <c r="C141" s="6" t="n"/>
      <c r="D141" s="7" t="n"/>
      <c r="E141" s="8">
        <f>IF(B141="Meals",50,IF(B141="","",100))</f>
        <v/>
      </c>
      <c r="F141" s="7">
        <f>IF(OR(D141="",B141=""),"",D141*(E141/100))</f>
        <v/>
      </c>
      <c r="G141" s="6" t="n"/>
    </row>
    <row r="142">
      <c r="A142" s="6" t="n"/>
      <c r="B142" s="6" t="n"/>
      <c r="C142" s="6" t="n"/>
      <c r="D142" s="7" t="n"/>
      <c r="E142" s="8">
        <f>IF(B142="Meals",50,IF(B142="","",100))</f>
        <v/>
      </c>
      <c r="F142" s="7">
        <f>IF(OR(D142="",B142=""),"",D142*(E142/100))</f>
        <v/>
      </c>
      <c r="G142" s="6" t="n"/>
    </row>
    <row r="143">
      <c r="A143" s="6" t="n"/>
      <c r="B143" s="6" t="n"/>
      <c r="C143" s="6" t="n"/>
      <c r="D143" s="7" t="n"/>
      <c r="E143" s="8">
        <f>IF(B143="Meals",50,IF(B143="","",100))</f>
        <v/>
      </c>
      <c r="F143" s="7">
        <f>IF(OR(D143="",B143=""),"",D143*(E143/100))</f>
        <v/>
      </c>
      <c r="G143" s="6" t="n"/>
    </row>
    <row r="144">
      <c r="A144" s="6" t="n"/>
      <c r="B144" s="6" t="n"/>
      <c r="C144" s="6" t="n"/>
      <c r="D144" s="7" t="n"/>
      <c r="E144" s="8">
        <f>IF(B144="Meals",50,IF(B144="","",100))</f>
        <v/>
      </c>
      <c r="F144" s="7">
        <f>IF(OR(D144="",B144=""),"",D144*(E144/100))</f>
        <v/>
      </c>
      <c r="G144" s="6" t="n"/>
    </row>
    <row r="145">
      <c r="A145" s="6" t="n"/>
      <c r="B145" s="6" t="n"/>
      <c r="C145" s="6" t="n"/>
      <c r="D145" s="7" t="n"/>
      <c r="E145" s="8">
        <f>IF(B145="Meals",50,IF(B145="","",100))</f>
        <v/>
      </c>
      <c r="F145" s="7">
        <f>IF(OR(D145="",B145=""),"",D145*(E145/100))</f>
        <v/>
      </c>
      <c r="G145" s="6" t="n"/>
    </row>
    <row r="146">
      <c r="A146" s="6" t="n"/>
      <c r="B146" s="6" t="n"/>
      <c r="C146" s="6" t="n"/>
      <c r="D146" s="7" t="n"/>
      <c r="E146" s="8">
        <f>IF(B146="Meals",50,IF(B146="","",100))</f>
        <v/>
      </c>
      <c r="F146" s="7">
        <f>IF(OR(D146="",B146=""),"",D146*(E146/100))</f>
        <v/>
      </c>
      <c r="G146" s="6" t="n"/>
    </row>
    <row r="147">
      <c r="A147" s="6" t="n"/>
      <c r="B147" s="6" t="n"/>
      <c r="C147" s="6" t="n"/>
      <c r="D147" s="7" t="n"/>
      <c r="E147" s="8">
        <f>IF(B147="Meals",50,IF(B147="","",100))</f>
        <v/>
      </c>
      <c r="F147" s="7">
        <f>IF(OR(D147="",B147=""),"",D147*(E147/100))</f>
        <v/>
      </c>
      <c r="G147" s="6" t="n"/>
    </row>
    <row r="148">
      <c r="A148" s="6" t="n"/>
      <c r="B148" s="6" t="n"/>
      <c r="C148" s="6" t="n"/>
      <c r="D148" s="7" t="n"/>
      <c r="E148" s="8">
        <f>IF(B148="Meals",50,IF(B148="","",100))</f>
        <v/>
      </c>
      <c r="F148" s="7">
        <f>IF(OR(D148="",B148=""),"",D148*(E148/100))</f>
        <v/>
      </c>
      <c r="G148" s="6" t="n"/>
    </row>
    <row r="149">
      <c r="A149" s="6" t="n"/>
      <c r="B149" s="6" t="n"/>
      <c r="C149" s="6" t="n"/>
      <c r="D149" s="7" t="n"/>
      <c r="E149" s="8">
        <f>IF(B149="Meals",50,IF(B149="","",100))</f>
        <v/>
      </c>
      <c r="F149" s="7">
        <f>IF(OR(D149="",B149=""),"",D149*(E149/100))</f>
        <v/>
      </c>
      <c r="G149" s="6" t="n"/>
    </row>
    <row r="150">
      <c r="A150" s="6" t="n"/>
      <c r="B150" s="6" t="n"/>
      <c r="C150" s="6" t="n"/>
      <c r="D150" s="7" t="n"/>
      <c r="E150" s="8">
        <f>IF(B150="Meals",50,IF(B150="","",100))</f>
        <v/>
      </c>
      <c r="F150" s="7">
        <f>IF(OR(D150="",B150=""),"",D150*(E150/100))</f>
        <v/>
      </c>
      <c r="G150" s="6" t="n"/>
    </row>
    <row r="151">
      <c r="A151" s="6" t="n"/>
      <c r="B151" s="6" t="n"/>
      <c r="C151" s="6" t="n"/>
      <c r="D151" s="7" t="n"/>
      <c r="E151" s="8">
        <f>IF(B151="Meals",50,IF(B151="","",100))</f>
        <v/>
      </c>
      <c r="F151" s="7">
        <f>IF(OR(D151="",B151=""),"",D151*(E151/100))</f>
        <v/>
      </c>
      <c r="G151" s="6" t="n"/>
    </row>
    <row r="152">
      <c r="A152" s="6" t="n"/>
      <c r="B152" s="6" t="n"/>
      <c r="C152" s="6" t="n"/>
      <c r="D152" s="7" t="n"/>
      <c r="E152" s="8">
        <f>IF(B152="Meals",50,IF(B152="","",100))</f>
        <v/>
      </c>
      <c r="F152" s="7">
        <f>IF(OR(D152="",B152=""),"",D152*(E152/100))</f>
        <v/>
      </c>
      <c r="G152" s="6" t="n"/>
    </row>
    <row r="153">
      <c r="A153" s="6" t="n"/>
      <c r="B153" s="6" t="n"/>
      <c r="C153" s="6" t="n"/>
      <c r="D153" s="7" t="n"/>
      <c r="E153" s="8">
        <f>IF(B153="Meals",50,IF(B153="","",100))</f>
        <v/>
      </c>
      <c r="F153" s="7">
        <f>IF(OR(D153="",B153=""),"",D153*(E153/100))</f>
        <v/>
      </c>
      <c r="G153" s="6" t="n"/>
    </row>
    <row r="154">
      <c r="A154" s="6" t="n"/>
      <c r="B154" s="6" t="n"/>
      <c r="C154" s="6" t="n"/>
      <c r="D154" s="7" t="n"/>
      <c r="E154" s="8">
        <f>IF(B154="Meals",50,IF(B154="","",100))</f>
        <v/>
      </c>
      <c r="F154" s="7">
        <f>IF(OR(D154="",B154=""),"",D154*(E154/100))</f>
        <v/>
      </c>
      <c r="G154" s="6" t="n"/>
    </row>
    <row r="155">
      <c r="A155" s="6" t="n"/>
      <c r="B155" s="6" t="n"/>
      <c r="C155" s="6" t="n"/>
      <c r="D155" s="7" t="n"/>
      <c r="E155" s="8">
        <f>IF(B155="Meals",50,IF(B155="","",100))</f>
        <v/>
      </c>
      <c r="F155" s="7">
        <f>IF(OR(D155="",B155=""),"",D155*(E155/100))</f>
        <v/>
      </c>
      <c r="G155" s="6" t="n"/>
    </row>
    <row r="156">
      <c r="A156" s="6" t="n"/>
      <c r="B156" s="6" t="n"/>
      <c r="C156" s="6" t="n"/>
      <c r="D156" s="7" t="n"/>
      <c r="E156" s="8">
        <f>IF(B156="Meals",50,IF(B156="","",100))</f>
        <v/>
      </c>
      <c r="F156" s="7">
        <f>IF(OR(D156="",B156=""),"",D156*(E156/100))</f>
        <v/>
      </c>
      <c r="G156" s="6" t="n"/>
    </row>
    <row r="157">
      <c r="A157" s="6" t="n"/>
      <c r="B157" s="6" t="n"/>
      <c r="C157" s="6" t="n"/>
      <c r="D157" s="7" t="n"/>
      <c r="E157" s="8">
        <f>IF(B157="Meals",50,IF(B157="","",100))</f>
        <v/>
      </c>
      <c r="F157" s="7">
        <f>IF(OR(D157="",B157=""),"",D157*(E157/100))</f>
        <v/>
      </c>
      <c r="G157" s="6" t="n"/>
    </row>
    <row r="158">
      <c r="A158" s="6" t="n"/>
      <c r="B158" s="6" t="n"/>
      <c r="C158" s="6" t="n"/>
      <c r="D158" s="7" t="n"/>
      <c r="E158" s="8">
        <f>IF(B158="Meals",50,IF(B158="","",100))</f>
        <v/>
      </c>
      <c r="F158" s="7">
        <f>IF(OR(D158="",B158=""),"",D158*(E158/100))</f>
        <v/>
      </c>
      <c r="G158" s="6" t="n"/>
    </row>
    <row r="159">
      <c r="A159" s="6" t="n"/>
      <c r="B159" s="6" t="n"/>
      <c r="C159" s="6" t="n"/>
      <c r="D159" s="7" t="n"/>
      <c r="E159" s="8">
        <f>IF(B159="Meals",50,IF(B159="","",100))</f>
        <v/>
      </c>
      <c r="F159" s="7">
        <f>IF(OR(D159="",B159=""),"",D159*(E159/100))</f>
        <v/>
      </c>
      <c r="G159" s="6" t="n"/>
    </row>
    <row r="160">
      <c r="A160" s="6" t="n"/>
      <c r="B160" s="6" t="n"/>
      <c r="C160" s="6" t="n"/>
      <c r="D160" s="7" t="n"/>
      <c r="E160" s="8">
        <f>IF(B160="Meals",50,IF(B160="","",100))</f>
        <v/>
      </c>
      <c r="F160" s="7">
        <f>IF(OR(D160="",B160=""),"",D160*(E160/100))</f>
        <v/>
      </c>
      <c r="G160" s="6" t="n"/>
    </row>
    <row r="161">
      <c r="A161" s="6" t="n"/>
      <c r="B161" s="6" t="n"/>
      <c r="C161" s="6" t="n"/>
      <c r="D161" s="7" t="n"/>
      <c r="E161" s="8">
        <f>IF(B161="Meals",50,IF(B161="","",100))</f>
        <v/>
      </c>
      <c r="F161" s="7">
        <f>IF(OR(D161="",B161=""),"",D161*(E161/100))</f>
        <v/>
      </c>
      <c r="G161" s="6" t="n"/>
    </row>
    <row r="162">
      <c r="A162" s="6" t="n"/>
      <c r="B162" s="6" t="n"/>
      <c r="C162" s="6" t="n"/>
      <c r="D162" s="7" t="n"/>
      <c r="E162" s="8">
        <f>IF(B162="Meals",50,IF(B162="","",100))</f>
        <v/>
      </c>
      <c r="F162" s="7">
        <f>IF(OR(D162="",B162=""),"",D162*(E162/100))</f>
        <v/>
      </c>
      <c r="G162" s="6" t="n"/>
    </row>
    <row r="163">
      <c r="A163" s="6" t="n"/>
      <c r="B163" s="6" t="n"/>
      <c r="C163" s="6" t="n"/>
      <c r="D163" s="7" t="n"/>
      <c r="E163" s="8">
        <f>IF(B163="Meals",50,IF(B163="","",100))</f>
        <v/>
      </c>
      <c r="F163" s="7">
        <f>IF(OR(D163="",B163=""),"",D163*(E163/100))</f>
        <v/>
      </c>
      <c r="G163" s="6" t="n"/>
    </row>
    <row r="164">
      <c r="A164" s="6" t="n"/>
      <c r="B164" s="6" t="n"/>
      <c r="C164" s="6" t="n"/>
      <c r="D164" s="7" t="n"/>
      <c r="E164" s="8">
        <f>IF(B164="Meals",50,IF(B164="","",100))</f>
        <v/>
      </c>
      <c r="F164" s="7">
        <f>IF(OR(D164="",B164=""),"",D164*(E164/100))</f>
        <v/>
      </c>
      <c r="G164" s="6" t="n"/>
    </row>
    <row r="165">
      <c r="A165" s="6" t="n"/>
      <c r="B165" s="6" t="n"/>
      <c r="C165" s="6" t="n"/>
      <c r="D165" s="7" t="n"/>
      <c r="E165" s="8">
        <f>IF(B165="Meals",50,IF(B165="","",100))</f>
        <v/>
      </c>
      <c r="F165" s="7">
        <f>IF(OR(D165="",B165=""),"",D165*(E165/100))</f>
        <v/>
      </c>
      <c r="G165" s="6" t="n"/>
    </row>
    <row r="166">
      <c r="A166" s="6" t="n"/>
      <c r="B166" s="6" t="n"/>
      <c r="C166" s="6" t="n"/>
      <c r="D166" s="7" t="n"/>
      <c r="E166" s="8">
        <f>IF(B166="Meals",50,IF(B166="","",100))</f>
        <v/>
      </c>
      <c r="F166" s="7">
        <f>IF(OR(D166="",B166=""),"",D166*(E166/100))</f>
        <v/>
      </c>
      <c r="G166" s="6" t="n"/>
    </row>
    <row r="167">
      <c r="A167" s="6" t="n"/>
      <c r="B167" s="6" t="n"/>
      <c r="C167" s="6" t="n"/>
      <c r="D167" s="7" t="n"/>
      <c r="E167" s="8">
        <f>IF(B167="Meals",50,IF(B167="","",100))</f>
        <v/>
      </c>
      <c r="F167" s="7">
        <f>IF(OR(D167="",B167=""),"",D167*(E167/100))</f>
        <v/>
      </c>
      <c r="G167" s="6" t="n"/>
    </row>
    <row r="168">
      <c r="A168" s="6" t="n"/>
      <c r="B168" s="6" t="n"/>
      <c r="C168" s="6" t="n"/>
      <c r="D168" s="7" t="n"/>
      <c r="E168" s="8">
        <f>IF(B168="Meals",50,IF(B168="","",100))</f>
        <v/>
      </c>
      <c r="F168" s="7">
        <f>IF(OR(D168="",B168=""),"",D168*(E168/100))</f>
        <v/>
      </c>
      <c r="G168" s="6" t="n"/>
    </row>
    <row r="169">
      <c r="A169" s="6" t="n"/>
      <c r="B169" s="6" t="n"/>
      <c r="C169" s="6" t="n"/>
      <c r="D169" s="7" t="n"/>
      <c r="E169" s="8">
        <f>IF(B169="Meals",50,IF(B169="","",100))</f>
        <v/>
      </c>
      <c r="F169" s="7">
        <f>IF(OR(D169="",B169=""),"",D169*(E169/100))</f>
        <v/>
      </c>
      <c r="G169" s="6" t="n"/>
    </row>
    <row r="170">
      <c r="A170" s="6" t="n"/>
      <c r="B170" s="6" t="n"/>
      <c r="C170" s="6" t="n"/>
      <c r="D170" s="7" t="n"/>
      <c r="E170" s="8">
        <f>IF(B170="Meals",50,IF(B170="","",100))</f>
        <v/>
      </c>
      <c r="F170" s="7">
        <f>IF(OR(D170="",B170=""),"",D170*(E170/100))</f>
        <v/>
      </c>
      <c r="G170" s="6" t="n"/>
    </row>
    <row r="171">
      <c r="A171" s="6" t="n"/>
      <c r="B171" s="6" t="n"/>
      <c r="C171" s="6" t="n"/>
      <c r="D171" s="7" t="n"/>
      <c r="E171" s="8">
        <f>IF(B171="Meals",50,IF(B171="","",100))</f>
        <v/>
      </c>
      <c r="F171" s="7">
        <f>IF(OR(D171="",B171=""),"",D171*(E171/100))</f>
        <v/>
      </c>
      <c r="G171" s="6" t="n"/>
    </row>
    <row r="172">
      <c r="A172" s="6" t="n"/>
      <c r="B172" s="6" t="n"/>
      <c r="C172" s="6" t="n"/>
      <c r="D172" s="7" t="n"/>
      <c r="E172" s="8">
        <f>IF(B172="Meals",50,IF(B172="","",100))</f>
        <v/>
      </c>
      <c r="F172" s="7">
        <f>IF(OR(D172="",B172=""),"",D172*(E172/100))</f>
        <v/>
      </c>
      <c r="G172" s="6" t="n"/>
    </row>
    <row r="173">
      <c r="A173" s="6" t="n"/>
      <c r="B173" s="6" t="n"/>
      <c r="C173" s="6" t="n"/>
      <c r="D173" s="7" t="n"/>
      <c r="E173" s="8">
        <f>IF(B173="Meals",50,IF(B173="","",100))</f>
        <v/>
      </c>
      <c r="F173" s="7">
        <f>IF(OR(D173="",B173=""),"",D173*(E173/100))</f>
        <v/>
      </c>
      <c r="G173" s="6" t="n"/>
    </row>
    <row r="174">
      <c r="A174" s="6" t="n"/>
      <c r="B174" s="6" t="n"/>
      <c r="C174" s="6" t="n"/>
      <c r="D174" s="7" t="n"/>
      <c r="E174" s="8">
        <f>IF(B174="Meals",50,IF(B174="","",100))</f>
        <v/>
      </c>
      <c r="F174" s="7">
        <f>IF(OR(D174="",B174=""),"",D174*(E174/100))</f>
        <v/>
      </c>
      <c r="G174" s="6" t="n"/>
    </row>
    <row r="175">
      <c r="A175" s="6" t="n"/>
      <c r="B175" s="6" t="n"/>
      <c r="C175" s="6" t="n"/>
      <c r="D175" s="7" t="n"/>
      <c r="E175" s="8">
        <f>IF(B175="Meals",50,IF(B175="","",100))</f>
        <v/>
      </c>
      <c r="F175" s="7">
        <f>IF(OR(D175="",B175=""),"",D175*(E175/100))</f>
        <v/>
      </c>
      <c r="G175" s="6" t="n"/>
    </row>
    <row r="176">
      <c r="A176" s="6" t="n"/>
      <c r="B176" s="6" t="n"/>
      <c r="C176" s="6" t="n"/>
      <c r="D176" s="7" t="n"/>
      <c r="E176" s="8">
        <f>IF(B176="Meals",50,IF(B176="","",100))</f>
        <v/>
      </c>
      <c r="F176" s="7">
        <f>IF(OR(D176="",B176=""),"",D176*(E176/100))</f>
        <v/>
      </c>
      <c r="G176" s="6" t="n"/>
    </row>
    <row r="177">
      <c r="A177" s="6" t="n"/>
      <c r="B177" s="6" t="n"/>
      <c r="C177" s="6" t="n"/>
      <c r="D177" s="7" t="n"/>
      <c r="E177" s="8">
        <f>IF(B177="Meals",50,IF(B177="","",100))</f>
        <v/>
      </c>
      <c r="F177" s="7">
        <f>IF(OR(D177="",B177=""),"",D177*(E177/100))</f>
        <v/>
      </c>
      <c r="G177" s="6" t="n"/>
    </row>
    <row r="178">
      <c r="A178" s="6" t="n"/>
      <c r="B178" s="6" t="n"/>
      <c r="C178" s="6" t="n"/>
      <c r="D178" s="7" t="n"/>
      <c r="E178" s="8">
        <f>IF(B178="Meals",50,IF(B178="","",100))</f>
        <v/>
      </c>
      <c r="F178" s="7">
        <f>IF(OR(D178="",B178=""),"",D178*(E178/100))</f>
        <v/>
      </c>
      <c r="G178" s="6" t="n"/>
    </row>
    <row r="179">
      <c r="A179" s="6" t="n"/>
      <c r="B179" s="6" t="n"/>
      <c r="C179" s="6" t="n"/>
      <c r="D179" s="7" t="n"/>
      <c r="E179" s="8">
        <f>IF(B179="Meals",50,IF(B179="","",100))</f>
        <v/>
      </c>
      <c r="F179" s="7">
        <f>IF(OR(D179="",B179=""),"",D179*(E179/100))</f>
        <v/>
      </c>
      <c r="G179" s="6" t="n"/>
    </row>
    <row r="180">
      <c r="A180" s="6" t="n"/>
      <c r="B180" s="6" t="n"/>
      <c r="C180" s="6" t="n"/>
      <c r="D180" s="7" t="n"/>
      <c r="E180" s="8">
        <f>IF(B180="Meals",50,IF(B180="","",100))</f>
        <v/>
      </c>
      <c r="F180" s="7">
        <f>IF(OR(D180="",B180=""),"",D180*(E180/100))</f>
        <v/>
      </c>
      <c r="G180" s="6" t="n"/>
    </row>
    <row r="181">
      <c r="A181" s="6" t="n"/>
      <c r="B181" s="6" t="n"/>
      <c r="C181" s="6" t="n"/>
      <c r="D181" s="7" t="n"/>
      <c r="E181" s="8">
        <f>IF(B181="Meals",50,IF(B181="","",100))</f>
        <v/>
      </c>
      <c r="F181" s="7">
        <f>IF(OR(D181="",B181=""),"",D181*(E181/100))</f>
        <v/>
      </c>
      <c r="G181" s="6" t="n"/>
    </row>
    <row r="182">
      <c r="A182" s="6" t="n"/>
      <c r="B182" s="6" t="n"/>
      <c r="C182" s="6" t="n"/>
      <c r="D182" s="7" t="n"/>
      <c r="E182" s="8">
        <f>IF(B182="Meals",50,IF(B182="","",100))</f>
        <v/>
      </c>
      <c r="F182" s="7">
        <f>IF(OR(D182="",B182=""),"",D182*(E182/100))</f>
        <v/>
      </c>
      <c r="G182" s="6" t="n"/>
    </row>
    <row r="183">
      <c r="A183" s="6" t="n"/>
      <c r="B183" s="6" t="n"/>
      <c r="C183" s="6" t="n"/>
      <c r="D183" s="7" t="n"/>
      <c r="E183" s="8">
        <f>IF(B183="Meals",50,IF(B183="","",100))</f>
        <v/>
      </c>
      <c r="F183" s="7">
        <f>IF(OR(D183="",B183=""),"",D183*(E183/100))</f>
        <v/>
      </c>
      <c r="G183" s="6" t="n"/>
    </row>
    <row r="184">
      <c r="A184" s="6" t="n"/>
      <c r="B184" s="6" t="n"/>
      <c r="C184" s="6" t="n"/>
      <c r="D184" s="7" t="n"/>
      <c r="E184" s="8">
        <f>IF(B184="Meals",50,IF(B184="","",100))</f>
        <v/>
      </c>
      <c r="F184" s="7">
        <f>IF(OR(D184="",B184=""),"",D184*(E184/100))</f>
        <v/>
      </c>
      <c r="G184" s="6" t="n"/>
    </row>
    <row r="185">
      <c r="A185" s="6" t="n"/>
      <c r="B185" s="6" t="n"/>
      <c r="C185" s="6" t="n"/>
      <c r="D185" s="7" t="n"/>
      <c r="E185" s="8">
        <f>IF(B185="Meals",50,IF(B185="","",100))</f>
        <v/>
      </c>
      <c r="F185" s="7">
        <f>IF(OR(D185="",B185=""),"",D185*(E185/100))</f>
        <v/>
      </c>
      <c r="G185" s="6" t="n"/>
    </row>
    <row r="186">
      <c r="A186" s="6" t="n"/>
      <c r="B186" s="6" t="n"/>
      <c r="C186" s="6" t="n"/>
      <c r="D186" s="7" t="n"/>
      <c r="E186" s="8">
        <f>IF(B186="Meals",50,IF(B186="","",100))</f>
        <v/>
      </c>
      <c r="F186" s="7">
        <f>IF(OR(D186="",B186=""),"",D186*(E186/100))</f>
        <v/>
      </c>
      <c r="G186" s="6" t="n"/>
    </row>
    <row r="187">
      <c r="A187" s="6" t="n"/>
      <c r="B187" s="6" t="n"/>
      <c r="C187" s="6" t="n"/>
      <c r="D187" s="7" t="n"/>
      <c r="E187" s="8">
        <f>IF(B187="Meals",50,IF(B187="","",100))</f>
        <v/>
      </c>
      <c r="F187" s="7">
        <f>IF(OR(D187="",B187=""),"",D187*(E187/100))</f>
        <v/>
      </c>
      <c r="G187" s="6" t="n"/>
    </row>
    <row r="188">
      <c r="A188" s="6" t="n"/>
      <c r="B188" s="6" t="n"/>
      <c r="C188" s="6" t="n"/>
      <c r="D188" s="7" t="n"/>
      <c r="E188" s="8">
        <f>IF(B188="Meals",50,IF(B188="","",100))</f>
        <v/>
      </c>
      <c r="F188" s="7">
        <f>IF(OR(D188="",B188=""),"",D188*(E188/100))</f>
        <v/>
      </c>
      <c r="G188" s="6" t="n"/>
    </row>
    <row r="189">
      <c r="A189" s="6" t="n"/>
      <c r="B189" s="6" t="n"/>
      <c r="C189" s="6" t="n"/>
      <c r="D189" s="7" t="n"/>
      <c r="E189" s="8">
        <f>IF(B189="Meals",50,IF(B189="","",100))</f>
        <v/>
      </c>
      <c r="F189" s="7">
        <f>IF(OR(D189="",B189=""),"",D189*(E189/100))</f>
        <v/>
      </c>
      <c r="G189" s="6" t="n"/>
    </row>
    <row r="190">
      <c r="A190" s="6" t="n"/>
      <c r="B190" s="6" t="n"/>
      <c r="C190" s="6" t="n"/>
      <c r="D190" s="7" t="n"/>
      <c r="E190" s="8">
        <f>IF(B190="Meals",50,IF(B190="","",100))</f>
        <v/>
      </c>
      <c r="F190" s="7">
        <f>IF(OR(D190="",B190=""),"",D190*(E190/100))</f>
        <v/>
      </c>
      <c r="G190" s="6" t="n"/>
    </row>
    <row r="191">
      <c r="A191" s="6" t="n"/>
      <c r="B191" s="6" t="n"/>
      <c r="C191" s="6" t="n"/>
      <c r="D191" s="7" t="n"/>
      <c r="E191" s="8">
        <f>IF(B191="Meals",50,IF(B191="","",100))</f>
        <v/>
      </c>
      <c r="F191" s="7">
        <f>IF(OR(D191="",B191=""),"",D191*(E191/100))</f>
        <v/>
      </c>
      <c r="G191" s="6" t="n"/>
    </row>
    <row r="192">
      <c r="A192" s="6" t="n"/>
      <c r="B192" s="6" t="n"/>
      <c r="C192" s="6" t="n"/>
      <c r="D192" s="7" t="n"/>
      <c r="E192" s="8">
        <f>IF(B192="Meals",50,IF(B192="","",100))</f>
        <v/>
      </c>
      <c r="F192" s="7">
        <f>IF(OR(D192="",B192=""),"",D192*(E192/100))</f>
        <v/>
      </c>
      <c r="G192" s="6" t="n"/>
    </row>
    <row r="193">
      <c r="A193" s="6" t="n"/>
      <c r="B193" s="6" t="n"/>
      <c r="C193" s="6" t="n"/>
      <c r="D193" s="7" t="n"/>
      <c r="E193" s="8">
        <f>IF(B193="Meals",50,IF(B193="","",100))</f>
        <v/>
      </c>
      <c r="F193" s="7">
        <f>IF(OR(D193="",B193=""),"",D193*(E193/100))</f>
        <v/>
      </c>
      <c r="G193" s="6" t="n"/>
    </row>
    <row r="194">
      <c r="A194" s="6" t="n"/>
      <c r="B194" s="6" t="n"/>
      <c r="C194" s="6" t="n"/>
      <c r="D194" s="7" t="n"/>
      <c r="E194" s="8">
        <f>IF(B194="Meals",50,IF(B194="","",100))</f>
        <v/>
      </c>
      <c r="F194" s="7">
        <f>IF(OR(D194="",B194=""),"",D194*(E194/100))</f>
        <v/>
      </c>
      <c r="G194" s="6" t="n"/>
    </row>
    <row r="195">
      <c r="A195" s="6" t="n"/>
      <c r="B195" s="6" t="n"/>
      <c r="C195" s="6" t="n"/>
      <c r="D195" s="7" t="n"/>
      <c r="E195" s="8">
        <f>IF(B195="Meals",50,IF(B195="","",100))</f>
        <v/>
      </c>
      <c r="F195" s="7">
        <f>IF(OR(D195="",B195=""),"",D195*(E195/100))</f>
        <v/>
      </c>
      <c r="G195" s="6" t="n"/>
    </row>
    <row r="196">
      <c r="A196" s="6" t="n"/>
      <c r="B196" s="6" t="n"/>
      <c r="C196" s="6" t="n"/>
      <c r="D196" s="7" t="n"/>
      <c r="E196" s="8">
        <f>IF(B196="Meals",50,IF(B196="","",100))</f>
        <v/>
      </c>
      <c r="F196" s="7">
        <f>IF(OR(D196="",B196=""),"",D196*(E196/100))</f>
        <v/>
      </c>
      <c r="G196" s="6" t="n"/>
    </row>
    <row r="197">
      <c r="A197" s="6" t="n"/>
      <c r="B197" s="6" t="n"/>
      <c r="C197" s="6" t="n"/>
      <c r="D197" s="7" t="n"/>
      <c r="E197" s="8">
        <f>IF(B197="Meals",50,IF(B197="","",100))</f>
        <v/>
      </c>
      <c r="F197" s="7">
        <f>IF(OR(D197="",B197=""),"",D197*(E197/100))</f>
        <v/>
      </c>
      <c r="G197" s="6" t="n"/>
    </row>
    <row r="198">
      <c r="A198" s="6" t="n"/>
      <c r="B198" s="6" t="n"/>
      <c r="C198" s="6" t="n"/>
      <c r="D198" s="7" t="n"/>
      <c r="E198" s="8">
        <f>IF(B198="Meals",50,IF(B198="","",100))</f>
        <v/>
      </c>
      <c r="F198" s="7">
        <f>IF(OR(D198="",B198=""),"",D198*(E198/100))</f>
        <v/>
      </c>
      <c r="G198" s="6" t="n"/>
    </row>
    <row r="199">
      <c r="A199" s="6" t="n"/>
      <c r="B199" s="6" t="n"/>
      <c r="C199" s="6" t="n"/>
      <c r="D199" s="7" t="n"/>
      <c r="E199" s="8">
        <f>IF(B199="Meals",50,IF(B199="","",100))</f>
        <v/>
      </c>
      <c r="F199" s="7">
        <f>IF(OR(D199="",B199=""),"",D199*(E199/100))</f>
        <v/>
      </c>
      <c r="G199" s="6" t="n"/>
    </row>
    <row r="200">
      <c r="A200" s="6" t="n"/>
      <c r="B200" s="6" t="n"/>
      <c r="C200" s="6" t="n"/>
      <c r="D200" s="7" t="n"/>
      <c r="E200" s="8">
        <f>IF(B200="Meals",50,IF(B200="","",100))</f>
        <v/>
      </c>
      <c r="F200" s="7">
        <f>IF(OR(D200="",B200=""),"",D200*(E200/100))</f>
        <v/>
      </c>
      <c r="G200" s="6" t="n"/>
    </row>
    <row r="201">
      <c r="A201" s="6" t="n"/>
      <c r="B201" s="6" t="n"/>
      <c r="C201" s="6" t="n"/>
      <c r="D201" s="7" t="n"/>
      <c r="E201" s="8">
        <f>IF(B201="Meals",50,IF(B201="","",100))</f>
        <v/>
      </c>
      <c r="F201" s="7">
        <f>IF(OR(D201="",B201=""),"",D201*(E201/100))</f>
        <v/>
      </c>
      <c r="G201" s="6" t="n"/>
    </row>
    <row r="202">
      <c r="A202" s="6" t="n"/>
      <c r="B202" s="6" t="n"/>
      <c r="C202" s="6" t="n"/>
      <c r="D202" s="7" t="n"/>
      <c r="E202" s="8">
        <f>IF(B202="Meals",50,IF(B202="","",100))</f>
        <v/>
      </c>
      <c r="F202" s="7">
        <f>IF(OR(D202="",B202=""),"",D202*(E202/100))</f>
        <v/>
      </c>
      <c r="G202" s="6" t="n"/>
    </row>
    <row r="203">
      <c r="A203" s="6" t="n"/>
      <c r="B203" s="6" t="n"/>
      <c r="C203" s="6" t="n"/>
      <c r="D203" s="7" t="n"/>
      <c r="E203" s="8">
        <f>IF(B203="Meals",50,IF(B203="","",100))</f>
        <v/>
      </c>
      <c r="F203" s="7">
        <f>IF(OR(D203="",B203=""),"",D203*(E203/100))</f>
        <v/>
      </c>
      <c r="G203" s="6" t="n"/>
    </row>
    <row r="204">
      <c r="A204" s="6" t="n"/>
      <c r="B204" s="6" t="n"/>
      <c r="C204" s="6" t="n"/>
      <c r="D204" s="7" t="n"/>
      <c r="E204" s="8">
        <f>IF(B204="Meals",50,IF(B204="","",100))</f>
        <v/>
      </c>
      <c r="F204" s="7">
        <f>IF(OR(D204="",B204=""),"",D204*(E204/100))</f>
        <v/>
      </c>
      <c r="G204" s="6" t="n"/>
    </row>
    <row r="205">
      <c r="A205" s="6" t="n"/>
      <c r="B205" s="6" t="n"/>
      <c r="C205" s="6" t="n"/>
      <c r="D205" s="7" t="n"/>
      <c r="E205" s="8">
        <f>IF(B205="Meals",50,IF(B205="","",100))</f>
        <v/>
      </c>
      <c r="F205" s="7">
        <f>IF(OR(D205="",B205=""),"",D205*(E205/100))</f>
        <v/>
      </c>
      <c r="G205" s="6" t="n"/>
    </row>
    <row r="206">
      <c r="A206" s="6" t="n"/>
      <c r="B206" s="6" t="n"/>
      <c r="C206" s="6" t="n"/>
      <c r="D206" s="7" t="n"/>
      <c r="E206" s="8">
        <f>IF(B206="Meals",50,IF(B206="","",100))</f>
        <v/>
      </c>
      <c r="F206" s="7">
        <f>IF(OR(D206="",B206=""),"",D206*(E206/100))</f>
        <v/>
      </c>
      <c r="G206" s="6" t="n"/>
    </row>
    <row r="207">
      <c r="A207" s="6" t="n"/>
      <c r="B207" s="6" t="n"/>
      <c r="C207" s="6" t="n"/>
      <c r="D207" s="7" t="n"/>
      <c r="E207" s="8">
        <f>IF(B207="Meals",50,IF(B207="","",100))</f>
        <v/>
      </c>
      <c r="F207" s="7">
        <f>IF(OR(D207="",B207=""),"",D207*(E207/100))</f>
        <v/>
      </c>
      <c r="G207" s="6" t="n"/>
    </row>
    <row r="208">
      <c r="A208" s="6" t="n"/>
      <c r="B208" s="6" t="n"/>
      <c r="C208" s="6" t="n"/>
      <c r="D208" s="7" t="n"/>
      <c r="E208" s="8">
        <f>IF(B208="Meals",50,IF(B208="","",100))</f>
        <v/>
      </c>
      <c r="F208" s="7">
        <f>IF(OR(D208="",B208=""),"",D208*(E208/100))</f>
        <v/>
      </c>
      <c r="G208" s="6" t="n"/>
    </row>
    <row r="209">
      <c r="A209" s="6" t="n"/>
      <c r="B209" s="6" t="n"/>
      <c r="C209" s="6" t="n"/>
      <c r="D209" s="7" t="n"/>
      <c r="E209" s="8">
        <f>IF(B209="Meals",50,IF(B209="","",100))</f>
        <v/>
      </c>
      <c r="F209" s="7">
        <f>IF(OR(D209="",B209=""),"",D209*(E209/100))</f>
        <v/>
      </c>
      <c r="G209" s="6" t="n"/>
    </row>
    <row r="210">
      <c r="A210" s="6" t="n"/>
      <c r="B210" s="6" t="n"/>
      <c r="C210" s="6" t="n"/>
      <c r="D210" s="7" t="n"/>
      <c r="E210" s="8">
        <f>IF(B210="Meals",50,IF(B210="","",100))</f>
        <v/>
      </c>
      <c r="F210" s="7">
        <f>IF(OR(D210="",B210=""),"",D210*(E210/100))</f>
        <v/>
      </c>
      <c r="G210" s="6" t="n"/>
    </row>
    <row r="211">
      <c r="A211" s="6" t="n"/>
      <c r="B211" s="6" t="n"/>
      <c r="C211" s="6" t="n"/>
      <c r="D211" s="7" t="n"/>
      <c r="E211" s="8">
        <f>IF(B211="Meals",50,IF(B211="","",100))</f>
        <v/>
      </c>
      <c r="F211" s="7">
        <f>IF(OR(D211="",B211=""),"",D211*(E211/100))</f>
        <v/>
      </c>
      <c r="G211" s="6" t="n"/>
    </row>
    <row r="212">
      <c r="A212" s="6" t="n"/>
      <c r="B212" s="6" t="n"/>
      <c r="C212" s="6" t="n"/>
      <c r="D212" s="7" t="n"/>
      <c r="E212" s="8">
        <f>IF(B212="Meals",50,IF(B212="","",100))</f>
        <v/>
      </c>
      <c r="F212" s="7">
        <f>IF(OR(D212="",B212=""),"",D212*(E212/100))</f>
        <v/>
      </c>
      <c r="G212" s="6" t="n"/>
    </row>
    <row r="213">
      <c r="A213" s="6" t="n"/>
      <c r="B213" s="6" t="n"/>
      <c r="C213" s="6" t="n"/>
      <c r="D213" s="7" t="n"/>
      <c r="E213" s="8">
        <f>IF(B213="Meals",50,IF(B213="","",100))</f>
        <v/>
      </c>
      <c r="F213" s="7">
        <f>IF(OR(D213="",B213=""),"",D213*(E213/100))</f>
        <v/>
      </c>
      <c r="G213" s="6" t="n"/>
    </row>
    <row r="214">
      <c r="A214" s="6" t="n"/>
      <c r="B214" s="6" t="n"/>
      <c r="C214" s="6" t="n"/>
      <c r="D214" s="7" t="n"/>
      <c r="E214" s="8">
        <f>IF(B214="Meals",50,IF(B214="","",100))</f>
        <v/>
      </c>
      <c r="F214" s="7">
        <f>IF(OR(D214="",B214=""),"",D214*(E214/100))</f>
        <v/>
      </c>
      <c r="G214" s="6" t="n"/>
    </row>
    <row r="215">
      <c r="A215" s="6" t="n"/>
      <c r="B215" s="6" t="n"/>
      <c r="C215" s="6" t="n"/>
      <c r="D215" s="7" t="n"/>
      <c r="E215" s="8">
        <f>IF(B215="Meals",50,IF(B215="","",100))</f>
        <v/>
      </c>
      <c r="F215" s="7">
        <f>IF(OR(D215="",B215=""),"",D215*(E215/100))</f>
        <v/>
      </c>
      <c r="G215" s="6" t="n"/>
    </row>
    <row r="216">
      <c r="A216" s="6" t="n"/>
      <c r="B216" s="6" t="n"/>
      <c r="C216" s="6" t="n"/>
      <c r="D216" s="7" t="n"/>
      <c r="E216" s="8">
        <f>IF(B216="Meals",50,IF(B216="","",100))</f>
        <v/>
      </c>
      <c r="F216" s="7">
        <f>IF(OR(D216="",B216=""),"",D216*(E216/100))</f>
        <v/>
      </c>
      <c r="G216" s="6" t="n"/>
    </row>
    <row r="217">
      <c r="A217" s="6" t="n"/>
      <c r="B217" s="6" t="n"/>
      <c r="C217" s="6" t="n"/>
      <c r="D217" s="7" t="n"/>
      <c r="E217" s="8">
        <f>IF(B217="Meals",50,IF(B217="","",100))</f>
        <v/>
      </c>
      <c r="F217" s="7">
        <f>IF(OR(D217="",B217=""),"",D217*(E217/100))</f>
        <v/>
      </c>
      <c r="G217" s="6" t="n"/>
    </row>
    <row r="218">
      <c r="A218" s="6" t="n"/>
      <c r="B218" s="6" t="n"/>
      <c r="C218" s="6" t="n"/>
      <c r="D218" s="7" t="n"/>
      <c r="E218" s="8">
        <f>IF(B218="Meals",50,IF(B218="","",100))</f>
        <v/>
      </c>
      <c r="F218" s="7">
        <f>IF(OR(D218="",B218=""),"",D218*(E218/100))</f>
        <v/>
      </c>
      <c r="G218" s="6" t="n"/>
    </row>
    <row r="219">
      <c r="A219" s="6" t="n"/>
      <c r="B219" s="6" t="n"/>
      <c r="C219" s="6" t="n"/>
      <c r="D219" s="7" t="n"/>
      <c r="E219" s="8">
        <f>IF(B219="Meals",50,IF(B219="","",100))</f>
        <v/>
      </c>
      <c r="F219" s="7">
        <f>IF(OR(D219="",B219=""),"",D219*(E219/100))</f>
        <v/>
      </c>
      <c r="G219" s="6" t="n"/>
    </row>
    <row r="220">
      <c r="A220" s="6" t="n"/>
      <c r="B220" s="6" t="n"/>
      <c r="C220" s="6" t="n"/>
      <c r="D220" s="7" t="n"/>
      <c r="E220" s="8">
        <f>IF(B220="Meals",50,IF(B220="","",100))</f>
        <v/>
      </c>
      <c r="F220" s="7">
        <f>IF(OR(D220="",B220=""),"",D220*(E220/100))</f>
        <v/>
      </c>
      <c r="G220" s="6" t="n"/>
    </row>
    <row r="221">
      <c r="A221" s="6" t="n"/>
      <c r="B221" s="6" t="n"/>
      <c r="C221" s="6" t="n"/>
      <c r="D221" s="7" t="n"/>
      <c r="E221" s="8">
        <f>IF(B221="Meals",50,IF(B221="","",100))</f>
        <v/>
      </c>
      <c r="F221" s="7">
        <f>IF(OR(D221="",B221=""),"",D221*(E221/100))</f>
        <v/>
      </c>
      <c r="G221" s="6" t="n"/>
    </row>
    <row r="222">
      <c r="A222" s="6" t="n"/>
      <c r="B222" s="6" t="n"/>
      <c r="C222" s="6" t="n"/>
      <c r="D222" s="7" t="n"/>
      <c r="E222" s="8">
        <f>IF(B222="Meals",50,IF(B222="","",100))</f>
        <v/>
      </c>
      <c r="F222" s="7">
        <f>IF(OR(D222="",B222=""),"",D222*(E222/100))</f>
        <v/>
      </c>
      <c r="G222" s="6" t="n"/>
    </row>
    <row r="223">
      <c r="A223" s="6" t="n"/>
      <c r="B223" s="6" t="n"/>
      <c r="C223" s="6" t="n"/>
      <c r="D223" s="7" t="n"/>
      <c r="E223" s="8">
        <f>IF(B223="Meals",50,IF(B223="","",100))</f>
        <v/>
      </c>
      <c r="F223" s="7">
        <f>IF(OR(D223="",B223=""),"",D223*(E223/100))</f>
        <v/>
      </c>
      <c r="G223" s="6" t="n"/>
    </row>
    <row r="224">
      <c r="A224" s="6" t="n"/>
      <c r="B224" s="6" t="n"/>
      <c r="C224" s="6" t="n"/>
      <c r="D224" s="7" t="n"/>
      <c r="E224" s="8">
        <f>IF(B224="Meals",50,IF(B224="","",100))</f>
        <v/>
      </c>
      <c r="F224" s="7">
        <f>IF(OR(D224="",B224=""),"",D224*(E224/100))</f>
        <v/>
      </c>
      <c r="G224" s="6" t="n"/>
    </row>
    <row r="225">
      <c r="A225" s="6" t="n"/>
      <c r="B225" s="6" t="n"/>
      <c r="C225" s="6" t="n"/>
      <c r="D225" s="7" t="n"/>
      <c r="E225" s="8">
        <f>IF(B225="Meals",50,IF(B225="","",100))</f>
        <v/>
      </c>
      <c r="F225" s="7">
        <f>IF(OR(D225="",B225=""),"",D225*(E225/100))</f>
        <v/>
      </c>
      <c r="G225" s="6" t="n"/>
    </row>
    <row r="226">
      <c r="A226" s="6" t="n"/>
      <c r="B226" s="6" t="n"/>
      <c r="C226" s="6" t="n"/>
      <c r="D226" s="7" t="n"/>
      <c r="E226" s="8">
        <f>IF(B226="Meals",50,IF(B226="","",100))</f>
        <v/>
      </c>
      <c r="F226" s="7">
        <f>IF(OR(D226="",B226=""),"",D226*(E226/100))</f>
        <v/>
      </c>
      <c r="G226" s="6" t="n"/>
    </row>
    <row r="227">
      <c r="A227" s="6" t="n"/>
      <c r="B227" s="6" t="n"/>
      <c r="C227" s="6" t="n"/>
      <c r="D227" s="7" t="n"/>
      <c r="E227" s="8">
        <f>IF(B227="Meals",50,IF(B227="","",100))</f>
        <v/>
      </c>
      <c r="F227" s="7">
        <f>IF(OR(D227="",B227=""),"",D227*(E227/100))</f>
        <v/>
      </c>
      <c r="G227" s="6" t="n"/>
    </row>
    <row r="228">
      <c r="A228" s="6" t="n"/>
      <c r="B228" s="6" t="n"/>
      <c r="C228" s="6" t="n"/>
      <c r="D228" s="7" t="n"/>
      <c r="E228" s="8">
        <f>IF(B228="Meals",50,IF(B228="","",100))</f>
        <v/>
      </c>
      <c r="F228" s="7">
        <f>IF(OR(D228="",B228=""),"",D228*(E228/100))</f>
        <v/>
      </c>
      <c r="G228" s="6" t="n"/>
    </row>
    <row r="229">
      <c r="A229" s="6" t="n"/>
      <c r="B229" s="6" t="n"/>
      <c r="C229" s="6" t="n"/>
      <c r="D229" s="7" t="n"/>
      <c r="E229" s="8">
        <f>IF(B229="Meals",50,IF(B229="","",100))</f>
        <v/>
      </c>
      <c r="F229" s="7">
        <f>IF(OR(D229="",B229=""),"",D229*(E229/100))</f>
        <v/>
      </c>
      <c r="G229" s="6" t="n"/>
    </row>
    <row r="230">
      <c r="A230" s="6" t="n"/>
      <c r="B230" s="6" t="n"/>
      <c r="C230" s="6" t="n"/>
      <c r="D230" s="7" t="n"/>
      <c r="E230" s="8">
        <f>IF(B230="Meals",50,IF(B230="","",100))</f>
        <v/>
      </c>
      <c r="F230" s="7">
        <f>IF(OR(D230="",B230=""),"",D230*(E230/100))</f>
        <v/>
      </c>
      <c r="G230" s="6" t="n"/>
    </row>
    <row r="231">
      <c r="A231" s="6" t="n"/>
      <c r="B231" s="6" t="n"/>
      <c r="C231" s="6" t="n"/>
      <c r="D231" s="7" t="n"/>
      <c r="E231" s="8">
        <f>IF(B231="Meals",50,IF(B231="","",100))</f>
        <v/>
      </c>
      <c r="F231" s="7">
        <f>IF(OR(D231="",B231=""),"",D231*(E231/100))</f>
        <v/>
      </c>
      <c r="G231" s="6" t="n"/>
    </row>
    <row r="232">
      <c r="A232" s="6" t="n"/>
      <c r="B232" s="6" t="n"/>
      <c r="C232" s="6" t="n"/>
      <c r="D232" s="7" t="n"/>
      <c r="E232" s="8">
        <f>IF(B232="Meals",50,IF(B232="","",100))</f>
        <v/>
      </c>
      <c r="F232" s="7">
        <f>IF(OR(D232="",B232=""),"",D232*(E232/100))</f>
        <v/>
      </c>
      <c r="G232" s="6" t="n"/>
    </row>
    <row r="233">
      <c r="A233" s="6" t="n"/>
      <c r="B233" s="6" t="n"/>
      <c r="C233" s="6" t="n"/>
      <c r="D233" s="7" t="n"/>
      <c r="E233" s="8">
        <f>IF(B233="Meals",50,IF(B233="","",100))</f>
        <v/>
      </c>
      <c r="F233" s="7">
        <f>IF(OR(D233="",B233=""),"",D233*(E233/100))</f>
        <v/>
      </c>
      <c r="G233" s="6" t="n"/>
    </row>
    <row r="234">
      <c r="A234" s="6" t="n"/>
      <c r="B234" s="6" t="n"/>
      <c r="C234" s="6" t="n"/>
      <c r="D234" s="7" t="n"/>
      <c r="E234" s="8">
        <f>IF(B234="Meals",50,IF(B234="","",100))</f>
        <v/>
      </c>
      <c r="F234" s="7">
        <f>IF(OR(D234="",B234=""),"",D234*(E234/100))</f>
        <v/>
      </c>
      <c r="G234" s="6" t="n"/>
    </row>
    <row r="235">
      <c r="A235" s="6" t="n"/>
      <c r="B235" s="6" t="n"/>
      <c r="C235" s="6" t="n"/>
      <c r="D235" s="7" t="n"/>
      <c r="E235" s="8">
        <f>IF(B235="Meals",50,IF(B235="","",100))</f>
        <v/>
      </c>
      <c r="F235" s="7">
        <f>IF(OR(D235="",B235=""),"",D235*(E235/100))</f>
        <v/>
      </c>
      <c r="G235" s="6" t="n"/>
    </row>
    <row r="236">
      <c r="A236" s="6" t="n"/>
      <c r="B236" s="6" t="n"/>
      <c r="C236" s="6" t="n"/>
      <c r="D236" s="7" t="n"/>
      <c r="E236" s="8">
        <f>IF(B236="Meals",50,IF(B236="","",100))</f>
        <v/>
      </c>
      <c r="F236" s="7">
        <f>IF(OR(D236="",B236=""),"",D236*(E236/100))</f>
        <v/>
      </c>
      <c r="G236" s="6" t="n"/>
    </row>
    <row r="237">
      <c r="A237" s="6" t="n"/>
      <c r="B237" s="6" t="n"/>
      <c r="C237" s="6" t="n"/>
      <c r="D237" s="7" t="n"/>
      <c r="E237" s="8">
        <f>IF(B237="Meals",50,IF(B237="","",100))</f>
        <v/>
      </c>
      <c r="F237" s="7">
        <f>IF(OR(D237="",B237=""),"",D237*(E237/100))</f>
        <v/>
      </c>
      <c r="G237" s="6" t="n"/>
    </row>
    <row r="238">
      <c r="A238" s="6" t="n"/>
      <c r="B238" s="6" t="n"/>
      <c r="C238" s="6" t="n"/>
      <c r="D238" s="7" t="n"/>
      <c r="E238" s="8">
        <f>IF(B238="Meals",50,IF(B238="","",100))</f>
        <v/>
      </c>
      <c r="F238" s="7">
        <f>IF(OR(D238="",B238=""),"",D238*(E238/100))</f>
        <v/>
      </c>
      <c r="G238" s="6" t="n"/>
    </row>
    <row r="239">
      <c r="A239" s="6" t="n"/>
      <c r="B239" s="6" t="n"/>
      <c r="C239" s="6" t="n"/>
      <c r="D239" s="7" t="n"/>
      <c r="E239" s="8">
        <f>IF(B239="Meals",50,IF(B239="","",100))</f>
        <v/>
      </c>
      <c r="F239" s="7">
        <f>IF(OR(D239="",B239=""),"",D239*(E239/100))</f>
        <v/>
      </c>
      <c r="G239" s="6" t="n"/>
    </row>
    <row r="240">
      <c r="A240" s="6" t="n"/>
      <c r="B240" s="6" t="n"/>
      <c r="C240" s="6" t="n"/>
      <c r="D240" s="7" t="n"/>
      <c r="E240" s="8">
        <f>IF(B240="Meals",50,IF(B240="","",100))</f>
        <v/>
      </c>
      <c r="F240" s="7">
        <f>IF(OR(D240="",B240=""),"",D240*(E240/100))</f>
        <v/>
      </c>
      <c r="G240" s="6" t="n"/>
    </row>
    <row r="241">
      <c r="A241" s="6" t="n"/>
      <c r="B241" s="6" t="n"/>
      <c r="C241" s="6" t="n"/>
      <c r="D241" s="7" t="n"/>
      <c r="E241" s="8">
        <f>IF(B241="Meals",50,IF(B241="","",100))</f>
        <v/>
      </c>
      <c r="F241" s="7">
        <f>IF(OR(D241="",B241=""),"",D241*(E241/100))</f>
        <v/>
      </c>
      <c r="G241" s="6" t="n"/>
    </row>
    <row r="242">
      <c r="A242" s="6" t="n"/>
      <c r="B242" s="6" t="n"/>
      <c r="C242" s="6" t="n"/>
      <c r="D242" s="7" t="n"/>
      <c r="E242" s="8">
        <f>IF(B242="Meals",50,IF(B242="","",100))</f>
        <v/>
      </c>
      <c r="F242" s="7">
        <f>IF(OR(D242="",B242=""),"",D242*(E242/100))</f>
        <v/>
      </c>
      <c r="G242" s="6" t="n"/>
    </row>
    <row r="243">
      <c r="A243" s="6" t="n"/>
      <c r="B243" s="6" t="n"/>
      <c r="C243" s="6" t="n"/>
      <c r="D243" s="7" t="n"/>
      <c r="E243" s="8">
        <f>IF(B243="Meals",50,IF(B243="","",100))</f>
        <v/>
      </c>
      <c r="F243" s="7">
        <f>IF(OR(D243="",B243=""),"",D243*(E243/100))</f>
        <v/>
      </c>
      <c r="G243" s="6" t="n"/>
    </row>
    <row r="244">
      <c r="A244" s="6" t="n"/>
      <c r="B244" s="6" t="n"/>
      <c r="C244" s="6" t="n"/>
      <c r="D244" s="7" t="n"/>
      <c r="E244" s="8">
        <f>IF(B244="Meals",50,IF(B244="","",100))</f>
        <v/>
      </c>
      <c r="F244" s="7">
        <f>IF(OR(D244="",B244=""),"",D244*(E244/100))</f>
        <v/>
      </c>
      <c r="G244" s="6" t="n"/>
    </row>
    <row r="245">
      <c r="A245" s="6" t="n"/>
      <c r="B245" s="6" t="n"/>
      <c r="C245" s="6" t="n"/>
      <c r="D245" s="7" t="n"/>
      <c r="E245" s="8">
        <f>IF(B245="Meals",50,IF(B245="","",100))</f>
        <v/>
      </c>
      <c r="F245" s="7">
        <f>IF(OR(D245="",B245=""),"",D245*(E245/100))</f>
        <v/>
      </c>
      <c r="G245" s="6" t="n"/>
    </row>
    <row r="246">
      <c r="A246" s="6" t="n"/>
      <c r="B246" s="6" t="n"/>
      <c r="C246" s="6" t="n"/>
      <c r="D246" s="7" t="n"/>
      <c r="E246" s="8">
        <f>IF(B246="Meals",50,IF(B246="","",100))</f>
        <v/>
      </c>
      <c r="F246" s="7">
        <f>IF(OR(D246="",B246=""),"",D246*(E246/100))</f>
        <v/>
      </c>
      <c r="G246" s="6" t="n"/>
    </row>
    <row r="247">
      <c r="A247" s="6" t="n"/>
      <c r="B247" s="6" t="n"/>
      <c r="C247" s="6" t="n"/>
      <c r="D247" s="7" t="n"/>
      <c r="E247" s="8">
        <f>IF(B247="Meals",50,IF(B247="","",100))</f>
        <v/>
      </c>
      <c r="F247" s="7">
        <f>IF(OR(D247="",B247=""),"",D247*(E247/100))</f>
        <v/>
      </c>
      <c r="G247" s="6" t="n"/>
    </row>
    <row r="248">
      <c r="A248" s="6" t="n"/>
      <c r="B248" s="6" t="n"/>
      <c r="C248" s="6" t="n"/>
      <c r="D248" s="7" t="n"/>
      <c r="E248" s="8">
        <f>IF(B248="Meals",50,IF(B248="","",100))</f>
        <v/>
      </c>
      <c r="F248" s="7">
        <f>IF(OR(D248="",B248=""),"",D248*(E248/100))</f>
        <v/>
      </c>
      <c r="G248" s="6" t="n"/>
    </row>
    <row r="249">
      <c r="A249" s="6" t="n"/>
      <c r="B249" s="6" t="n"/>
      <c r="C249" s="6" t="n"/>
      <c r="D249" s="7" t="n"/>
      <c r="E249" s="8">
        <f>IF(B249="Meals",50,IF(B249="","",100))</f>
        <v/>
      </c>
      <c r="F249" s="7">
        <f>IF(OR(D249="",B249=""),"",D249*(E249/100))</f>
        <v/>
      </c>
      <c r="G249" s="6" t="n"/>
    </row>
    <row r="250">
      <c r="A250" s="6" t="n"/>
      <c r="B250" s="6" t="n"/>
      <c r="C250" s="6" t="n"/>
      <c r="D250" s="7" t="n"/>
      <c r="E250" s="8">
        <f>IF(B250="Meals",50,IF(B250="","",100))</f>
        <v/>
      </c>
      <c r="F250" s="7">
        <f>IF(OR(D250="",B250=""),"",D250*(E250/100))</f>
        <v/>
      </c>
      <c r="G250" s="6" t="n"/>
    </row>
    <row r="251">
      <c r="A251" s="6" t="n"/>
      <c r="B251" s="6" t="n"/>
      <c r="C251" s="6" t="n"/>
      <c r="D251" s="7" t="n"/>
      <c r="E251" s="8">
        <f>IF(B251="Meals",50,IF(B251="","",100))</f>
        <v/>
      </c>
      <c r="F251" s="7">
        <f>IF(OR(D251="",B251=""),"",D251*(E251/100))</f>
        <v/>
      </c>
      <c r="G251" s="6" t="n"/>
    </row>
    <row r="252">
      <c r="A252" s="6" t="n"/>
      <c r="B252" s="6" t="n"/>
      <c r="C252" s="6" t="n"/>
      <c r="D252" s="7" t="n"/>
      <c r="E252" s="8">
        <f>IF(B252="Meals",50,IF(B252="","",100))</f>
        <v/>
      </c>
      <c r="F252" s="7">
        <f>IF(OR(D252="",B252=""),"",D252*(E252/100))</f>
        <v/>
      </c>
      <c r="G252" s="6" t="n"/>
    </row>
    <row r="253">
      <c r="A253" s="6" t="n"/>
      <c r="B253" s="6" t="n"/>
      <c r="C253" s="6" t="n"/>
      <c r="D253" s="7" t="n"/>
      <c r="E253" s="8">
        <f>IF(B253="Meals",50,IF(B253="","",100))</f>
        <v/>
      </c>
      <c r="F253" s="7">
        <f>IF(OR(D253="",B253=""),"",D253*(E253/100))</f>
        <v/>
      </c>
      <c r="G253" s="6" t="n"/>
    </row>
    <row r="254">
      <c r="A254" s="6" t="n"/>
      <c r="B254" s="6" t="n"/>
      <c r="C254" s="6" t="n"/>
      <c r="D254" s="7" t="n"/>
      <c r="E254" s="8">
        <f>IF(B254="Meals",50,IF(B254="","",100))</f>
        <v/>
      </c>
      <c r="F254" s="7">
        <f>IF(OR(D254="",B254=""),"",D254*(E254/100))</f>
        <v/>
      </c>
      <c r="G254" s="6" t="n"/>
    </row>
    <row r="255">
      <c r="A255" s="6" t="n"/>
      <c r="B255" s="6" t="n"/>
      <c r="C255" s="6" t="n"/>
      <c r="D255" s="7" t="n"/>
      <c r="E255" s="8">
        <f>IF(B255="Meals",50,IF(B255="","",100))</f>
        <v/>
      </c>
      <c r="F255" s="7">
        <f>IF(OR(D255="",B255=""),"",D255*(E255/100))</f>
        <v/>
      </c>
      <c r="G255" s="6" t="n"/>
    </row>
    <row r="256">
      <c r="A256" s="6" t="n"/>
      <c r="B256" s="6" t="n"/>
      <c r="C256" s="6" t="n"/>
      <c r="D256" s="7" t="n"/>
      <c r="E256" s="8">
        <f>IF(B256="Meals",50,IF(B256="","",100))</f>
        <v/>
      </c>
      <c r="F256" s="7">
        <f>IF(OR(D256="",B256=""),"",D256*(E256/100))</f>
        <v/>
      </c>
      <c r="G256" s="6" t="n"/>
    </row>
    <row r="257">
      <c r="A257" s="6" t="n"/>
      <c r="B257" s="6" t="n"/>
      <c r="C257" s="6" t="n"/>
      <c r="D257" s="7" t="n"/>
      <c r="E257" s="8">
        <f>IF(B257="Meals",50,IF(B257="","",100))</f>
        <v/>
      </c>
      <c r="F257" s="7">
        <f>IF(OR(D257="",B257=""),"",D257*(E257/100))</f>
        <v/>
      </c>
      <c r="G257" s="6" t="n"/>
    </row>
    <row r="258">
      <c r="A258" s="6" t="n"/>
      <c r="B258" s="6" t="n"/>
      <c r="C258" s="6" t="n"/>
      <c r="D258" s="7" t="n"/>
      <c r="E258" s="8">
        <f>IF(B258="Meals",50,IF(B258="","",100))</f>
        <v/>
      </c>
      <c r="F258" s="7">
        <f>IF(OR(D258="",B258=""),"",D258*(E258/100))</f>
        <v/>
      </c>
      <c r="G258" s="6" t="n"/>
    </row>
    <row r="259">
      <c r="A259" s="6" t="n"/>
      <c r="B259" s="6" t="n"/>
      <c r="C259" s="6" t="n"/>
      <c r="D259" s="7" t="n"/>
      <c r="E259" s="8">
        <f>IF(B259="Meals",50,IF(B259="","",100))</f>
        <v/>
      </c>
      <c r="F259" s="7">
        <f>IF(OR(D259="",B259=""),"",D259*(E259/100))</f>
        <v/>
      </c>
      <c r="G259" s="6" t="n"/>
    </row>
    <row r="260">
      <c r="A260" s="6" t="n"/>
      <c r="B260" s="6" t="n"/>
      <c r="C260" s="6" t="n"/>
      <c r="D260" s="7" t="n"/>
      <c r="E260" s="8">
        <f>IF(B260="Meals",50,IF(B260="","",100))</f>
        <v/>
      </c>
      <c r="F260" s="7">
        <f>IF(OR(D260="",B260=""),"",D260*(E260/100))</f>
        <v/>
      </c>
      <c r="G260" s="6" t="n"/>
    </row>
    <row r="261">
      <c r="A261" s="6" t="n"/>
      <c r="B261" s="6" t="n"/>
      <c r="C261" s="6" t="n"/>
      <c r="D261" s="7" t="n"/>
      <c r="E261" s="8">
        <f>IF(B261="Meals",50,IF(B261="","",100))</f>
        <v/>
      </c>
      <c r="F261" s="7">
        <f>IF(OR(D261="",B261=""),"",D261*(E261/100))</f>
        <v/>
      </c>
      <c r="G261" s="6" t="n"/>
    </row>
    <row r="262">
      <c r="A262" s="6" t="n"/>
      <c r="B262" s="6" t="n"/>
      <c r="C262" s="6" t="n"/>
      <c r="D262" s="7" t="n"/>
      <c r="E262" s="8">
        <f>IF(B262="Meals",50,IF(B262="","",100))</f>
        <v/>
      </c>
      <c r="F262" s="7">
        <f>IF(OR(D262="",B262=""),"",D262*(E262/100))</f>
        <v/>
      </c>
      <c r="G262" s="6" t="n"/>
    </row>
    <row r="263">
      <c r="A263" s="6" t="n"/>
      <c r="B263" s="6" t="n"/>
      <c r="C263" s="6" t="n"/>
      <c r="D263" s="7" t="n"/>
      <c r="E263" s="8">
        <f>IF(B263="Meals",50,IF(B263="","",100))</f>
        <v/>
      </c>
      <c r="F263" s="7">
        <f>IF(OR(D263="",B263=""),"",D263*(E263/100))</f>
        <v/>
      </c>
      <c r="G263" s="6" t="n"/>
    </row>
    <row r="264">
      <c r="A264" s="6" t="n"/>
      <c r="B264" s="6" t="n"/>
      <c r="C264" s="6" t="n"/>
      <c r="D264" s="7" t="n"/>
      <c r="E264" s="8">
        <f>IF(B264="Meals",50,IF(B264="","",100))</f>
        <v/>
      </c>
      <c r="F264" s="7">
        <f>IF(OR(D264="",B264=""),"",D264*(E264/100))</f>
        <v/>
      </c>
      <c r="G264" s="6" t="n"/>
    </row>
    <row r="265">
      <c r="A265" s="6" t="n"/>
      <c r="B265" s="6" t="n"/>
      <c r="C265" s="6" t="n"/>
      <c r="D265" s="7" t="n"/>
      <c r="E265" s="8">
        <f>IF(B265="Meals",50,IF(B265="","",100))</f>
        <v/>
      </c>
      <c r="F265" s="7">
        <f>IF(OR(D265="",B265=""),"",D265*(E265/100))</f>
        <v/>
      </c>
      <c r="G265" s="6" t="n"/>
    </row>
    <row r="266">
      <c r="A266" s="6" t="n"/>
      <c r="B266" s="6" t="n"/>
      <c r="C266" s="6" t="n"/>
      <c r="D266" s="7" t="n"/>
      <c r="E266" s="8">
        <f>IF(B266="Meals",50,IF(B266="","",100))</f>
        <v/>
      </c>
      <c r="F266" s="7">
        <f>IF(OR(D266="",B266=""),"",D266*(E266/100))</f>
        <v/>
      </c>
      <c r="G266" s="6" t="n"/>
    </row>
    <row r="267">
      <c r="A267" s="6" t="n"/>
      <c r="B267" s="6" t="n"/>
      <c r="C267" s="6" t="n"/>
      <c r="D267" s="7" t="n"/>
      <c r="E267" s="8">
        <f>IF(B267="Meals",50,IF(B267="","",100))</f>
        <v/>
      </c>
      <c r="F267" s="7">
        <f>IF(OR(D267="",B267=""),"",D267*(E267/100))</f>
        <v/>
      </c>
      <c r="G267" s="6" t="n"/>
    </row>
    <row r="268">
      <c r="A268" s="6" t="n"/>
      <c r="B268" s="6" t="n"/>
      <c r="C268" s="6" t="n"/>
      <c r="D268" s="7" t="n"/>
      <c r="E268" s="8">
        <f>IF(B268="Meals",50,IF(B268="","",100))</f>
        <v/>
      </c>
      <c r="F268" s="7">
        <f>IF(OR(D268="",B268=""),"",D268*(E268/100))</f>
        <v/>
      </c>
      <c r="G268" s="6" t="n"/>
    </row>
    <row r="269">
      <c r="A269" s="6" t="n"/>
      <c r="B269" s="6" t="n"/>
      <c r="C269" s="6" t="n"/>
      <c r="D269" s="7" t="n"/>
      <c r="E269" s="8">
        <f>IF(B269="Meals",50,IF(B269="","",100))</f>
        <v/>
      </c>
      <c r="F269" s="7">
        <f>IF(OR(D269="",B269=""),"",D269*(E269/100))</f>
        <v/>
      </c>
      <c r="G269" s="6" t="n"/>
    </row>
    <row r="270">
      <c r="A270" s="6" t="n"/>
      <c r="B270" s="6" t="n"/>
      <c r="C270" s="6" t="n"/>
      <c r="D270" s="7" t="n"/>
      <c r="E270" s="8">
        <f>IF(B270="Meals",50,IF(B270="","",100))</f>
        <v/>
      </c>
      <c r="F270" s="7">
        <f>IF(OR(D270="",B270=""),"",D270*(E270/100))</f>
        <v/>
      </c>
      <c r="G270" s="6" t="n"/>
    </row>
    <row r="271">
      <c r="A271" s="6" t="n"/>
      <c r="B271" s="6" t="n"/>
      <c r="C271" s="6" t="n"/>
      <c r="D271" s="7" t="n"/>
      <c r="E271" s="8">
        <f>IF(B271="Meals",50,IF(B271="","",100))</f>
        <v/>
      </c>
      <c r="F271" s="7">
        <f>IF(OR(D271="",B271=""),"",D271*(E271/100))</f>
        <v/>
      </c>
      <c r="G271" s="6" t="n"/>
    </row>
    <row r="272">
      <c r="A272" s="6" t="n"/>
      <c r="B272" s="6" t="n"/>
      <c r="C272" s="6" t="n"/>
      <c r="D272" s="7" t="n"/>
      <c r="E272" s="8">
        <f>IF(B272="Meals",50,IF(B272="","",100))</f>
        <v/>
      </c>
      <c r="F272" s="7">
        <f>IF(OR(D272="",B272=""),"",D272*(E272/100))</f>
        <v/>
      </c>
      <c r="G272" s="6" t="n"/>
    </row>
    <row r="273">
      <c r="A273" s="6" t="n"/>
      <c r="B273" s="6" t="n"/>
      <c r="C273" s="6" t="n"/>
      <c r="D273" s="7" t="n"/>
      <c r="E273" s="8">
        <f>IF(B273="Meals",50,IF(B273="","",100))</f>
        <v/>
      </c>
      <c r="F273" s="7">
        <f>IF(OR(D273="",B273=""),"",D273*(E273/100))</f>
        <v/>
      </c>
      <c r="G273" s="6" t="n"/>
    </row>
    <row r="274">
      <c r="A274" s="6" t="n"/>
      <c r="B274" s="6" t="n"/>
      <c r="C274" s="6" t="n"/>
      <c r="D274" s="7" t="n"/>
      <c r="E274" s="8">
        <f>IF(B274="Meals",50,IF(B274="","",100))</f>
        <v/>
      </c>
      <c r="F274" s="7">
        <f>IF(OR(D274="",B274=""),"",D274*(E274/100))</f>
        <v/>
      </c>
      <c r="G274" s="6" t="n"/>
    </row>
    <row r="275">
      <c r="A275" s="6" t="n"/>
      <c r="B275" s="6" t="n"/>
      <c r="C275" s="6" t="n"/>
      <c r="D275" s="7" t="n"/>
      <c r="E275" s="8">
        <f>IF(B275="Meals",50,IF(B275="","",100))</f>
        <v/>
      </c>
      <c r="F275" s="7">
        <f>IF(OR(D275="",B275=""),"",D275*(E275/100))</f>
        <v/>
      </c>
      <c r="G275" s="6" t="n"/>
    </row>
    <row r="276">
      <c r="A276" s="6" t="n"/>
      <c r="B276" s="6" t="n"/>
      <c r="C276" s="6" t="n"/>
      <c r="D276" s="7" t="n"/>
      <c r="E276" s="8">
        <f>IF(B276="Meals",50,IF(B276="","",100))</f>
        <v/>
      </c>
      <c r="F276" s="7">
        <f>IF(OR(D276="",B276=""),"",D276*(E276/100))</f>
        <v/>
      </c>
      <c r="G276" s="6" t="n"/>
    </row>
    <row r="277">
      <c r="A277" s="6" t="n"/>
      <c r="B277" s="6" t="n"/>
      <c r="C277" s="6" t="n"/>
      <c r="D277" s="7" t="n"/>
      <c r="E277" s="8">
        <f>IF(B277="Meals",50,IF(B277="","",100))</f>
        <v/>
      </c>
      <c r="F277" s="7">
        <f>IF(OR(D277="",B277=""),"",D277*(E277/100))</f>
        <v/>
      </c>
      <c r="G277" s="6" t="n"/>
    </row>
    <row r="278">
      <c r="A278" s="6" t="n"/>
      <c r="B278" s="6" t="n"/>
      <c r="C278" s="6" t="n"/>
      <c r="D278" s="7" t="n"/>
      <c r="E278" s="8">
        <f>IF(B278="Meals",50,IF(B278="","",100))</f>
        <v/>
      </c>
      <c r="F278" s="7">
        <f>IF(OR(D278="",B278=""),"",D278*(E278/100))</f>
        <v/>
      </c>
      <c r="G278" s="6" t="n"/>
    </row>
    <row r="279">
      <c r="A279" s="6" t="n"/>
      <c r="B279" s="6" t="n"/>
      <c r="C279" s="6" t="n"/>
      <c r="D279" s="7" t="n"/>
      <c r="E279" s="8">
        <f>IF(B279="Meals",50,IF(B279="","",100))</f>
        <v/>
      </c>
      <c r="F279" s="7">
        <f>IF(OR(D279="",B279=""),"",D279*(E279/100))</f>
        <v/>
      </c>
      <c r="G279" s="6" t="n"/>
    </row>
    <row r="280">
      <c r="A280" s="6" t="n"/>
      <c r="B280" s="6" t="n"/>
      <c r="C280" s="6" t="n"/>
      <c r="D280" s="7" t="n"/>
      <c r="E280" s="8">
        <f>IF(B280="Meals",50,IF(B280="","",100))</f>
        <v/>
      </c>
      <c r="F280" s="7">
        <f>IF(OR(D280="",B280=""),"",D280*(E280/100))</f>
        <v/>
      </c>
      <c r="G280" s="6" t="n"/>
    </row>
    <row r="281">
      <c r="A281" s="6" t="n"/>
      <c r="B281" s="6" t="n"/>
      <c r="C281" s="6" t="n"/>
      <c r="D281" s="7" t="n"/>
      <c r="E281" s="8">
        <f>IF(B281="Meals",50,IF(B281="","",100))</f>
        <v/>
      </c>
      <c r="F281" s="7">
        <f>IF(OR(D281="",B281=""),"",D281*(E281/100))</f>
        <v/>
      </c>
      <c r="G281" s="6" t="n"/>
    </row>
    <row r="282">
      <c r="A282" s="6" t="n"/>
      <c r="B282" s="6" t="n"/>
      <c r="C282" s="6" t="n"/>
      <c r="D282" s="7" t="n"/>
      <c r="E282" s="8">
        <f>IF(B282="Meals",50,IF(B282="","",100))</f>
        <v/>
      </c>
      <c r="F282" s="7">
        <f>IF(OR(D282="",B282=""),"",D282*(E282/100))</f>
        <v/>
      </c>
      <c r="G282" s="6" t="n"/>
    </row>
    <row r="283">
      <c r="A283" s="6" t="n"/>
      <c r="B283" s="6" t="n"/>
      <c r="C283" s="6" t="n"/>
      <c r="D283" s="7" t="n"/>
      <c r="E283" s="8">
        <f>IF(B283="Meals",50,IF(B283="","",100))</f>
        <v/>
      </c>
      <c r="F283" s="7">
        <f>IF(OR(D283="",B283=""),"",D283*(E283/100))</f>
        <v/>
      </c>
      <c r="G283" s="6" t="n"/>
    </row>
    <row r="284">
      <c r="A284" s="6" t="n"/>
      <c r="B284" s="6" t="n"/>
      <c r="C284" s="6" t="n"/>
      <c r="D284" s="7" t="n"/>
      <c r="E284" s="8">
        <f>IF(B284="Meals",50,IF(B284="","",100))</f>
        <v/>
      </c>
      <c r="F284" s="7">
        <f>IF(OR(D284="",B284=""),"",D284*(E284/100))</f>
        <v/>
      </c>
      <c r="G284" s="6" t="n"/>
    </row>
    <row r="285">
      <c r="A285" s="6" t="n"/>
      <c r="B285" s="6" t="n"/>
      <c r="C285" s="6" t="n"/>
      <c r="D285" s="7" t="n"/>
      <c r="E285" s="8">
        <f>IF(B285="Meals",50,IF(B285="","",100))</f>
        <v/>
      </c>
      <c r="F285" s="7">
        <f>IF(OR(D285="",B285=""),"",D285*(E285/100))</f>
        <v/>
      </c>
      <c r="G285" s="6" t="n"/>
    </row>
    <row r="286">
      <c r="A286" s="6" t="n"/>
      <c r="B286" s="6" t="n"/>
      <c r="C286" s="6" t="n"/>
      <c r="D286" s="7" t="n"/>
      <c r="E286" s="8">
        <f>IF(B286="Meals",50,IF(B286="","",100))</f>
        <v/>
      </c>
      <c r="F286" s="7">
        <f>IF(OR(D286="",B286=""),"",D286*(E286/100))</f>
        <v/>
      </c>
      <c r="G286" s="6" t="n"/>
    </row>
    <row r="287">
      <c r="A287" s="6" t="n"/>
      <c r="B287" s="6" t="n"/>
      <c r="C287" s="6" t="n"/>
      <c r="D287" s="7" t="n"/>
      <c r="E287" s="8">
        <f>IF(B287="Meals",50,IF(B287="","",100))</f>
        <v/>
      </c>
      <c r="F287" s="7">
        <f>IF(OR(D287="",B287=""),"",D287*(E287/100))</f>
        <v/>
      </c>
      <c r="G287" s="6" t="n"/>
    </row>
    <row r="288">
      <c r="A288" s="6" t="n"/>
      <c r="B288" s="6" t="n"/>
      <c r="C288" s="6" t="n"/>
      <c r="D288" s="7" t="n"/>
      <c r="E288" s="8">
        <f>IF(B288="Meals",50,IF(B288="","",100))</f>
        <v/>
      </c>
      <c r="F288" s="7">
        <f>IF(OR(D288="",B288=""),"",D288*(E288/100))</f>
        <v/>
      </c>
      <c r="G288" s="6" t="n"/>
    </row>
    <row r="289">
      <c r="A289" s="6" t="n"/>
      <c r="B289" s="6" t="n"/>
      <c r="C289" s="6" t="n"/>
      <c r="D289" s="7" t="n"/>
      <c r="E289" s="8">
        <f>IF(B289="Meals",50,IF(B289="","",100))</f>
        <v/>
      </c>
      <c r="F289" s="7">
        <f>IF(OR(D289="",B289=""),"",D289*(E289/100))</f>
        <v/>
      </c>
      <c r="G289" s="6" t="n"/>
    </row>
    <row r="290">
      <c r="A290" s="6" t="n"/>
      <c r="B290" s="6" t="n"/>
      <c r="C290" s="6" t="n"/>
      <c r="D290" s="7" t="n"/>
      <c r="E290" s="8">
        <f>IF(B290="Meals",50,IF(B290="","",100))</f>
        <v/>
      </c>
      <c r="F290" s="7">
        <f>IF(OR(D290="",B290=""),"",D290*(E290/100))</f>
        <v/>
      </c>
      <c r="G290" s="6" t="n"/>
    </row>
    <row r="291">
      <c r="A291" s="6" t="n"/>
      <c r="B291" s="6" t="n"/>
      <c r="C291" s="6" t="n"/>
      <c r="D291" s="7" t="n"/>
      <c r="E291" s="8">
        <f>IF(B291="Meals",50,IF(B291="","",100))</f>
        <v/>
      </c>
      <c r="F291" s="7">
        <f>IF(OR(D291="",B291=""),"",D291*(E291/100))</f>
        <v/>
      </c>
      <c r="G291" s="6" t="n"/>
    </row>
    <row r="292">
      <c r="A292" s="6" t="n"/>
      <c r="B292" s="6" t="n"/>
      <c r="C292" s="6" t="n"/>
      <c r="D292" s="7" t="n"/>
      <c r="E292" s="8">
        <f>IF(B292="Meals",50,IF(B292="","",100))</f>
        <v/>
      </c>
      <c r="F292" s="7">
        <f>IF(OR(D292="",B292=""),"",D292*(E292/100))</f>
        <v/>
      </c>
      <c r="G292" s="6" t="n"/>
    </row>
    <row r="293">
      <c r="A293" s="6" t="n"/>
      <c r="B293" s="6" t="n"/>
      <c r="C293" s="6" t="n"/>
      <c r="D293" s="7" t="n"/>
      <c r="E293" s="8">
        <f>IF(B293="Meals",50,IF(B293="","",100))</f>
        <v/>
      </c>
      <c r="F293" s="7">
        <f>IF(OR(D293="",B293=""),"",D293*(E293/100))</f>
        <v/>
      </c>
      <c r="G293" s="6" t="n"/>
    </row>
    <row r="294">
      <c r="A294" s="6" t="n"/>
      <c r="B294" s="6" t="n"/>
      <c r="C294" s="6" t="n"/>
      <c r="D294" s="7" t="n"/>
      <c r="E294" s="8">
        <f>IF(B294="Meals",50,IF(B294="","",100))</f>
        <v/>
      </c>
      <c r="F294" s="7">
        <f>IF(OR(D294="",B294=""),"",D294*(E294/100))</f>
        <v/>
      </c>
      <c r="G294" s="6" t="n"/>
    </row>
    <row r="295">
      <c r="A295" s="6" t="n"/>
      <c r="B295" s="6" t="n"/>
      <c r="C295" s="6" t="n"/>
      <c r="D295" s="7" t="n"/>
      <c r="E295" s="8">
        <f>IF(B295="Meals",50,IF(B295="","",100))</f>
        <v/>
      </c>
      <c r="F295" s="7">
        <f>IF(OR(D295="",B295=""),"",D295*(E295/100))</f>
        <v/>
      </c>
      <c r="G295" s="6" t="n"/>
    </row>
    <row r="296">
      <c r="A296" s="6" t="n"/>
      <c r="B296" s="6" t="n"/>
      <c r="C296" s="6" t="n"/>
      <c r="D296" s="7" t="n"/>
      <c r="E296" s="8">
        <f>IF(B296="Meals",50,IF(B296="","",100))</f>
        <v/>
      </c>
      <c r="F296" s="7">
        <f>IF(OR(D296="",B296=""),"",D296*(E296/100))</f>
        <v/>
      </c>
      <c r="G296" s="6" t="n"/>
    </row>
    <row r="297">
      <c r="A297" s="6" t="n"/>
      <c r="B297" s="6" t="n"/>
      <c r="C297" s="6" t="n"/>
      <c r="D297" s="7" t="n"/>
      <c r="E297" s="8">
        <f>IF(B297="Meals",50,IF(B297="","",100))</f>
        <v/>
      </c>
      <c r="F297" s="7">
        <f>IF(OR(D297="",B297=""),"",D297*(E297/100))</f>
        <v/>
      </c>
      <c r="G297" s="6" t="n"/>
    </row>
    <row r="298">
      <c r="A298" s="6" t="n"/>
      <c r="B298" s="6" t="n"/>
      <c r="C298" s="6" t="n"/>
      <c r="D298" s="7" t="n"/>
      <c r="E298" s="8">
        <f>IF(B298="Meals",50,IF(B298="","",100))</f>
        <v/>
      </c>
      <c r="F298" s="7">
        <f>IF(OR(D298="",B298=""),"",D298*(E298/100))</f>
        <v/>
      </c>
      <c r="G298" s="6" t="n"/>
    </row>
    <row r="299">
      <c r="A299" s="6" t="n"/>
      <c r="B299" s="6" t="n"/>
      <c r="C299" s="6" t="n"/>
      <c r="D299" s="7" t="n"/>
      <c r="E299" s="8">
        <f>IF(B299="Meals",50,IF(B299="","",100))</f>
        <v/>
      </c>
      <c r="F299" s="7">
        <f>IF(OR(D299="",B299=""),"",D299*(E299/100))</f>
        <v/>
      </c>
      <c r="G299" s="6" t="n"/>
    </row>
    <row r="300">
      <c r="A300" s="6" t="n"/>
      <c r="B300" s="6" t="n"/>
      <c r="C300" s="6" t="n"/>
      <c r="D300" s="7" t="n"/>
      <c r="E300" s="8">
        <f>IF(B300="Meals",50,IF(B300="","",100))</f>
        <v/>
      </c>
      <c r="F300" s="7">
        <f>IF(OR(D300="",B300=""),"",D300*(E300/100))</f>
        <v/>
      </c>
      <c r="G300" s="6" t="n"/>
    </row>
    <row r="301">
      <c r="A301" s="6" t="n"/>
      <c r="B301" s="6" t="n"/>
      <c r="C301" s="6" t="n"/>
      <c r="D301" s="7" t="n"/>
      <c r="E301" s="8">
        <f>IF(B301="Meals",50,IF(B301="","",100))</f>
        <v/>
      </c>
      <c r="F301" s="7">
        <f>IF(OR(D301="",B301=""),"",D301*(E301/100))</f>
        <v/>
      </c>
      <c r="G301" s="6" t="n"/>
    </row>
    <row r="303">
      <c r="A303" s="9" t="inlineStr">
        <is>
          <t>Deductible % auto-fills to 50% for Meals, 100% otherwise — overwrite any cell if your real business-use share is different (e.g. a partly-personal vehicle or phone line).</t>
        </is>
      </c>
    </row>
  </sheetData>
  <dataValidations count="1">
    <dataValidation sqref="B2:B301" showDropDown="0" showInputMessage="0" showErrorMessage="0" allowBlank="1" type="list">
      <formula1>"Advertising,Car and Truck Expenses,Commissions and Fees,Contract Labor,Depreciation &amp; Section 179,Insurance (other than health),Legal &amp; Professional Services,Office Expense,Rent — Other Business Property,Repairs &amp; Maintenance,Supplies,Taxes &amp; Licenses,Travel,Meals,Utilities,Other Expenses,Home Office,Other"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" customWidth="1" min="3" max="3"/>
    <col width="46" customWidth="1" min="4" max="4"/>
    <col width="16" customWidth="1" min="5" max="5"/>
  </cols>
  <sheetData>
    <row r="2">
      <c r="A2" s="1" t="inlineStr">
        <is>
          <t>Quarterly Tax Estimator</t>
        </is>
      </c>
    </row>
    <row r="4">
      <c r="A4" s="10" t="inlineStr">
        <is>
          <t>Net profit YTD (from logs)</t>
        </is>
      </c>
      <c r="B4" s="11">
        <f>SUM('Income Log'!E2:E301) - SUM('Expense Log'!F2:F301)</f>
        <v/>
      </c>
      <c r="D4" s="10" t="inlineStr">
        <is>
          <t>2026 Payment Deadlines</t>
        </is>
      </c>
    </row>
    <row r="5">
      <c r="A5" s="5" t="inlineStr">
        <is>
          <t>Projected full-year net profit (edit this)</t>
        </is>
      </c>
      <c r="B5" s="12" t="n">
        <v>60000</v>
      </c>
      <c r="C5" s="5" t="n"/>
      <c r="D5" s="5" t="inlineStr">
        <is>
          <t>Quarter</t>
        </is>
      </c>
      <c r="E5" s="5" t="inlineStr">
        <is>
          <t>Due Date</t>
        </is>
      </c>
    </row>
    <row r="6">
      <c r="D6" s="13" t="inlineStr">
        <is>
          <t>Q1 2026</t>
        </is>
      </c>
      <c r="E6" s="13" t="inlineStr">
        <is>
          <t>April 15, 2026</t>
        </is>
      </c>
    </row>
    <row r="7">
      <c r="A7" s="14" t="inlineStr">
        <is>
          <t>Net earnings from self-employment</t>
        </is>
      </c>
      <c r="B7" s="15">
        <f>B5*0.9235</f>
        <v/>
      </c>
      <c r="D7" s="13" t="inlineStr">
        <is>
          <t>Q2 2026</t>
        </is>
      </c>
      <c r="E7" s="13" t="inlineStr">
        <is>
          <t>June 15, 2026</t>
        </is>
      </c>
    </row>
    <row r="8">
      <c r="A8" s="14" t="inlineStr">
        <is>
          <t>Social Security tax (12.4%, capped at $184,500 wage base)</t>
        </is>
      </c>
      <c r="B8" s="15">
        <f>MIN(B7,184500)*0.124</f>
        <v/>
      </c>
      <c r="D8" s="13" t="inlineStr">
        <is>
          <t>Q3 2026</t>
        </is>
      </c>
      <c r="E8" s="13" t="inlineStr">
        <is>
          <t>September 15, 2026</t>
        </is>
      </c>
    </row>
    <row r="9">
      <c r="A9" s="14" t="inlineStr">
        <is>
          <t>Medicare tax (2.9%, no cap)</t>
        </is>
      </c>
      <c r="B9" s="15">
        <f>B7*0.029</f>
        <v/>
      </c>
      <c r="D9" s="13" t="inlineStr">
        <is>
          <t>Q4 2026</t>
        </is>
      </c>
      <c r="E9" s="13" t="inlineStr">
        <is>
          <t>January 15, 2027</t>
        </is>
      </c>
    </row>
    <row r="10">
      <c r="A10" s="16" t="inlineStr">
        <is>
          <t>Total self-employment tax</t>
        </is>
      </c>
      <c r="B10" s="17">
        <f>B8+B9</f>
        <v/>
      </c>
    </row>
    <row r="11">
      <c r="A11" s="14" t="inlineStr">
        <is>
          <t>Deductible half of SE tax (for income tax return)</t>
        </is>
      </c>
      <c r="B11" s="15">
        <f>B10/2</f>
        <v/>
      </c>
      <c r="D11" s="18" t="inlineStr">
        <is>
          <t>Days until next deadline</t>
        </is>
      </c>
      <c r="E11" s="16">
        <f>MIN(IF(DATE(2026,4,15)&gt;=TODAY(),DATE(2026,4,15)-TODAY(),9999),IF(DATE(2026,6,15)&gt;=TODAY(),DATE(2026,6,15)-TODAY(),9999),IF(DATE(2026,9,15)&gt;=TODAY(),DATE(2026,9,15)-TODAY(),9999),IF(DATE(2027,1,15)&gt;=TODAY(),DATE(2027,1,15)-TODAY(),9999))</f>
        <v/>
      </c>
    </row>
    <row r="13">
      <c r="A13" s="10" t="inlineStr">
        <is>
          <t>Suggested total tax reserve (25%-30% rule of thumb)</t>
        </is>
      </c>
    </row>
    <row r="14">
      <c r="A14" s="13" t="inlineStr">
        <is>
          <t xml:space="preserve">  Low estimate (25% of projected net profit)</t>
        </is>
      </c>
      <c r="B14" s="11">
        <f>B5*0.25</f>
        <v/>
      </c>
    </row>
    <row r="15">
      <c r="A15" s="13" t="inlineStr">
        <is>
          <t xml:space="preserve">  High estimate (30% of projected net profit)</t>
        </is>
      </c>
      <c r="B15" s="11">
        <f>B5*0.30</f>
        <v/>
      </c>
    </row>
    <row r="17">
      <c r="A17" s="19" t="inlineStr">
        <is>
          <t>Suggested payment THIS quarter (reserve ÷ 4)</t>
        </is>
      </c>
      <c r="B17" s="20">
        <f>B14/4</f>
        <v/>
      </c>
    </row>
    <row r="18">
      <c r="A18" s="21" t="inlineStr">
        <is>
          <t xml:space="preserve">  to</t>
        </is>
      </c>
      <c r="B18" s="22">
        <f>B15/4</f>
        <v/>
      </c>
    </row>
    <row r="20" ht="40" customHeight="1">
      <c r="A20" s="23" t="inlineStr">
        <is>
          <t>This tab calculates self-employment tax exactly (it's fixed math). The 25%-30% total reserve is a rule-of-thumb range that also covers income tax — your real income-tax rate depends on filing status, deductions, and state. Use the IRS Form 1040-ES worksheet or a tax preparer for a personalized income-tax figure.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30" customWidth="1" min="4" max="4"/>
    <col width="16" customWidth="1" min="5" max="5"/>
  </cols>
  <sheetData>
    <row r="2">
      <c r="A2" s="1" t="inlineStr">
        <is>
          <t>Dashboard</t>
        </is>
      </c>
    </row>
    <row r="3">
      <c r="A3" s="5" t="n"/>
      <c r="B3" s="5" t="n"/>
      <c r="C3" s="5" t="n"/>
      <c r="D3" s="5" t="inlineStr">
        <is>
          <t>Category</t>
        </is>
      </c>
      <c r="E3" s="5" t="inlineStr">
        <is>
          <t>Amount</t>
        </is>
      </c>
    </row>
    <row r="4">
      <c r="A4" s="10" t="inlineStr">
        <is>
          <t>Total income YTD</t>
        </is>
      </c>
      <c r="B4" s="11">
        <f>SUM('Income Log'!E2:E301)</f>
        <v/>
      </c>
      <c r="D4" s="24" t="inlineStr">
        <is>
          <t>Advertising</t>
        </is>
      </c>
      <c r="E4" s="11">
        <f>SUMIF('Expense Log'!$B$2:$B$301,D4,'Expense Log'!$F$2:$F$301)</f>
        <v/>
      </c>
    </row>
    <row r="5">
      <c r="A5" s="10" t="inlineStr">
        <is>
          <t>Total deductible expenses YTD</t>
        </is>
      </c>
      <c r="B5" s="11">
        <f>SUM('Expense Log'!F2:F301)</f>
        <v/>
      </c>
      <c r="D5" s="24" t="inlineStr">
        <is>
          <t>Car and Truck Expenses</t>
        </is>
      </c>
      <c r="E5" s="11">
        <f>SUMIF('Expense Log'!$B$2:$B$301,D5,'Expense Log'!$F$2:$F$301)</f>
        <v/>
      </c>
    </row>
    <row r="6">
      <c r="A6" s="19" t="inlineStr">
        <is>
          <t>Net profit YTD</t>
        </is>
      </c>
      <c r="B6" s="20">
        <f>B4-B5</f>
        <v/>
      </c>
      <c r="D6" s="24" t="inlineStr">
        <is>
          <t>Commissions and Fees</t>
        </is>
      </c>
      <c r="E6" s="11">
        <f>SUMIF('Expense Log'!$B$2:$B$301,D6,'Expense Log'!$F$2:$F$301)</f>
        <v/>
      </c>
    </row>
    <row r="7">
      <c r="D7" s="24" t="inlineStr">
        <is>
          <t>Contract Labor</t>
        </is>
      </c>
      <c r="E7" s="11">
        <f>SUMIF('Expense Log'!$B$2:$B$301,D7,'Expense Log'!$F$2:$F$301)</f>
        <v/>
      </c>
    </row>
    <row r="8">
      <c r="A8" s="10" t="inlineStr">
        <is>
          <t>Suggested quarterly payment (from Estimator tab)</t>
        </is>
      </c>
      <c r="B8" s="11">
        <f>'Quarterly Tax Estimator'!B17</f>
        <v/>
      </c>
      <c r="D8" s="24" t="inlineStr">
        <is>
          <t>Depreciation &amp; Section 179</t>
        </is>
      </c>
      <c r="E8" s="11">
        <f>SUMIF('Expense Log'!$B$2:$B$301,D8,'Expense Log'!$F$2:$F$301)</f>
        <v/>
      </c>
    </row>
    <row r="9">
      <c r="A9" s="10" t="inlineStr">
        <is>
          <t>Days until next deadline</t>
        </is>
      </c>
      <c r="B9" s="16">
        <f>'Quarterly Tax Estimator'!E11</f>
        <v/>
      </c>
      <c r="D9" s="24" t="inlineStr">
        <is>
          <t>Insurance (other than health)</t>
        </is>
      </c>
      <c r="E9" s="11">
        <f>SUMIF('Expense Log'!$B$2:$B$301,D9,'Expense Log'!$F$2:$F$301)</f>
        <v/>
      </c>
    </row>
    <row r="10">
      <c r="D10" s="24" t="inlineStr">
        <is>
          <t>Legal &amp; Professional Services</t>
        </is>
      </c>
      <c r="E10" s="11">
        <f>SUMIF('Expense Log'!$B$2:$B$301,D10,'Expense Log'!$F$2:$F$301)</f>
        <v/>
      </c>
    </row>
    <row r="11">
      <c r="D11" s="24" t="inlineStr">
        <is>
          <t>Office Expense</t>
        </is>
      </c>
      <c r="E11" s="11">
        <f>SUMIF('Expense Log'!$B$2:$B$301,D11,'Expense Log'!$F$2:$F$301)</f>
        <v/>
      </c>
    </row>
    <row r="12">
      <c r="D12" s="24" t="inlineStr">
        <is>
          <t>Rent — Other Business Property</t>
        </is>
      </c>
      <c r="E12" s="11">
        <f>SUMIF('Expense Log'!$B$2:$B$301,D12,'Expense Log'!$F$2:$F$301)</f>
        <v/>
      </c>
    </row>
    <row r="13">
      <c r="D13" s="24" t="inlineStr">
        <is>
          <t>Repairs &amp; Maintenance</t>
        </is>
      </c>
      <c r="E13" s="11">
        <f>SUMIF('Expense Log'!$B$2:$B$301,D13,'Expense Log'!$F$2:$F$301)</f>
        <v/>
      </c>
    </row>
    <row r="14">
      <c r="D14" s="24" t="inlineStr">
        <is>
          <t>Supplies</t>
        </is>
      </c>
      <c r="E14" s="11">
        <f>SUMIF('Expense Log'!$B$2:$B$301,D14,'Expense Log'!$F$2:$F$301)</f>
        <v/>
      </c>
    </row>
    <row r="15">
      <c r="D15" s="24" t="inlineStr">
        <is>
          <t>Taxes &amp; Licenses</t>
        </is>
      </c>
      <c r="E15" s="11">
        <f>SUMIF('Expense Log'!$B$2:$B$301,D15,'Expense Log'!$F$2:$F$301)</f>
        <v/>
      </c>
    </row>
    <row r="16">
      <c r="D16" s="24" t="inlineStr">
        <is>
          <t>Travel</t>
        </is>
      </c>
      <c r="E16" s="11">
        <f>SUMIF('Expense Log'!$B$2:$B$301,D16,'Expense Log'!$F$2:$F$301)</f>
        <v/>
      </c>
    </row>
    <row r="17">
      <c r="D17" s="24" t="inlineStr">
        <is>
          <t>Meals</t>
        </is>
      </c>
      <c r="E17" s="11">
        <f>SUMIF('Expense Log'!$B$2:$B$301,D17,'Expense Log'!$F$2:$F$301)</f>
        <v/>
      </c>
    </row>
    <row r="18">
      <c r="D18" s="24" t="inlineStr">
        <is>
          <t>Utilities</t>
        </is>
      </c>
      <c r="E18" s="11">
        <f>SUMIF('Expense Log'!$B$2:$B$301,D18,'Expense Log'!$F$2:$F$301)</f>
        <v/>
      </c>
    </row>
    <row r="19">
      <c r="D19" s="24" t="inlineStr">
        <is>
          <t>Other Expenses</t>
        </is>
      </c>
      <c r="E19" s="11">
        <f>SUMIF('Expense Log'!$B$2:$B$301,D19,'Expense Log'!$F$2:$F$301)</f>
        <v/>
      </c>
    </row>
    <row r="20">
      <c r="D20" s="24" t="inlineStr">
        <is>
          <t>Home Office</t>
        </is>
      </c>
      <c r="E20" s="11">
        <f>SUMIF('Expense Log'!$B$2:$B$301,D20,'Expense Log'!$F$2:$F$301)</f>
        <v/>
      </c>
    </row>
    <row r="21">
      <c r="D21" s="24" t="inlineStr">
        <is>
          <t>Other</t>
        </is>
      </c>
      <c r="E21" s="11">
        <f>SUMIF('Expense Log'!$B$2:$B$301,D21,'Expense Log'!$F$2:$F$301)</f>
        <v/>
      </c>
    </row>
    <row r="24">
      <c r="A24" s="9" t="inlineStr">
        <is>
          <t>Update your logs weekly — this dashboard is only as current as your last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2026-07-19T23:54:28Z</dcterms:created>
  <dcterms:modified xsi:type="dcterms:W3CDTF">2026-07-19T23:54:29Z</dcterms:modified>
</cp:coreProperties>
</file>