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Invoice Log" sheetId="2" state="visible" r:id="rId2"/>
    <sheet name="Reminder Dashboard" sheetId="3" state="visible" r:id="rId3"/>
    <sheet name="Invoice Template" sheetId="4" state="visible" r:id="rId4"/>
  </sheets>
  <definedNames/>
  <calcPr calcId="124519" fullCalcOnLoad="1"/>
</workbook>
</file>

<file path=xl/styles.xml><?xml version="1.0" encoding="utf-8"?>
<styleSheet xmlns="http://schemas.openxmlformats.org/spreadsheetml/2006/main">
  <numFmts count="2">
    <numFmt numFmtId="164" formatCode="&quot;$&quot;#,##0.00"/>
    <numFmt numFmtId="165" formatCode="0.0&quot;%&quot;"/>
  </numFmts>
  <fonts count="17">
    <font>
      <name val="Calibri"/>
      <family val="2"/>
      <color theme="1"/>
      <sz val="11"/>
      <scheme val="minor"/>
    </font>
    <font>
      <b val="1"/>
      <color rgb="001C1C1E"/>
      <sz val="16"/>
    </font>
    <font>
      <color rgb="001C1C1E"/>
      <sz val="11"/>
    </font>
    <font>
      <b val="1"/>
      <color rgb="001C1C1E"/>
      <sz val="11"/>
    </font>
    <font>
      <color rgb="005A5A60"/>
      <sz val="11"/>
    </font>
    <font>
      <b val="1"/>
      <color rgb="00FFFFFF"/>
      <sz val="11"/>
    </font>
    <font>
      <i val="1"/>
      <color rgb="005A5A60"/>
      <sz val="9.5"/>
    </font>
    <font>
      <b val="1"/>
      <sz val="11"/>
    </font>
    <font>
      <b val="1"/>
      <color rgb="002F5D50"/>
      <sz val="12"/>
    </font>
    <font>
      <sz val="11"/>
    </font>
    <font>
      <sz val="10.5"/>
    </font>
    <font>
      <b val="1"/>
      <sz val="10.5"/>
    </font>
    <font>
      <b val="1"/>
      <color rgb="002F5D50"/>
      <sz val="10.5"/>
    </font>
    <font>
      <color rgb="005A5A60"/>
      <sz val="10"/>
    </font>
    <font>
      <b val="1"/>
      <color rgb="002F5D50"/>
      <sz val="20"/>
    </font>
    <font>
      <color rgb="005A5A60"/>
      <sz val="10.5"/>
    </font>
    <font>
      <i val="1"/>
      <color rgb="005A5A60"/>
      <sz val="9.300000000000001"/>
    </font>
  </fonts>
  <fills count="3">
    <fill>
      <patternFill/>
    </fill>
    <fill>
      <patternFill patternType="gray125"/>
    </fill>
    <fill>
      <patternFill patternType="solid">
        <fgColor rgb="002F5D50"/>
      </patternFill>
    </fill>
  </fills>
  <borders count="2">
    <border>
      <left/>
      <right/>
      <top/>
      <bottom/>
      <diagonal/>
    </border>
    <border>
      <left style="thin">
        <color rgb="00D8D6CC"/>
      </left>
      <right style="thin">
        <color rgb="00D8D6CC"/>
      </right>
      <top style="thin">
        <color rgb="00D8D6CC"/>
      </top>
      <bottom style="thin">
        <color rgb="00D8D6CC"/>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1" pivotButton="0" quotePrefix="0" xfId="0"/>
    <xf numFmtId="164" fontId="0" fillId="0" borderId="1" pivotButton="0" quotePrefix="0" xfId="0"/>
    <xf numFmtId="0" fontId="6" fillId="0" borderId="0" pivotButton="0" quotePrefix="0" xfId="0"/>
    <xf numFmtId="0" fontId="7" fillId="0" borderId="0" pivotButton="0" quotePrefix="0" xfId="0"/>
    <xf numFmtId="164" fontId="0" fillId="0" borderId="0" pivotButton="0" quotePrefix="0" xfId="0"/>
    <xf numFmtId="0" fontId="8" fillId="0" borderId="0" pivotButton="0" quotePrefix="0" xfId="0"/>
    <xf numFmtId="164" fontId="8" fillId="0" borderId="0" pivotButton="0" quotePrefix="0" xfId="0"/>
    <xf numFmtId="0" fontId="13" fillId="0" borderId="0" applyAlignment="1" pivotButton="0" quotePrefix="0" xfId="0">
      <alignment wrapText="1"/>
    </xf>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4" fillId="0" borderId="0" pivotButton="0" quotePrefix="0" xfId="0"/>
    <xf numFmtId="0" fontId="15" fillId="0" borderId="0" pivotButton="0" quotePrefix="0" xfId="0"/>
    <xf numFmtId="0" fontId="2" fillId="0" borderId="1" pivotButton="0" quotePrefix="0" xfId="0"/>
    <xf numFmtId="165" fontId="0" fillId="0" borderId="0" pivotButton="0" quotePrefix="0" xfId="0"/>
    <xf numFmtId="0" fontId="10" fillId="0" borderId="1" pivotButton="0" quotePrefix="0" xfId="0"/>
    <xf numFmtId="0" fontId="1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10"/>
  <sheetViews>
    <sheetView showGridLines="0" workbookViewId="0">
      <selection activeCell="A1" sqref="A1"/>
    </sheetView>
  </sheetViews>
  <sheetFormatPr baseColWidth="8" defaultRowHeight="15"/>
  <cols>
    <col width="104" customWidth="1" min="1" max="1"/>
  </cols>
  <sheetData>
    <row r="2">
      <c r="A2" s="1" t="inlineStr">
        <is>
          <t>Freelancer Invoice &amp; Late-Payment Toolkit</t>
        </is>
      </c>
    </row>
    <row r="3">
      <c r="A3" s="2" t="inlineStr"/>
    </row>
    <row r="4">
      <c r="A4" s="3" t="inlineStr">
        <is>
          <t>How to use this workbook:</t>
        </is>
      </c>
    </row>
    <row r="5">
      <c r="A5" s="4" t="inlineStr">
        <is>
          <t>1. Log every invoice on the 'Invoice Log' tab the day you send it — due date and amount are required for the Status column to work.</t>
        </is>
      </c>
    </row>
    <row r="6">
      <c r="A6" s="4" t="inlineStr">
        <is>
          <t>2. When a client pays, fill in 'Date Paid' — the Status column automatically flips to Paid and stops counting days overdue.</t>
        </is>
      </c>
    </row>
    <row r="7">
      <c r="A7" s="4" t="inlineStr">
        <is>
          <t>3. Check the 'Reminder Dashboard' tab any time to see total outstanding, how many invoices are overdue, and which reminder stage each one is due for (see the PDF guide for the actual email scripts).</t>
        </is>
      </c>
    </row>
    <row r="8">
      <c r="A8" s="4" t="inlineStr">
        <is>
          <t>4. Use the 'Invoice Template' tab as a ready-to-fill invoice for a new client — it calculates the subtotal, tax, and total automatically.</t>
        </is>
      </c>
    </row>
    <row r="9">
      <c r="A9" s="2" t="inlineStr"/>
    </row>
    <row r="10">
      <c r="A10" s="2" t="inlineStr">
        <is>
          <t>This workbook is a tracking and reminder-timing tool, not accounting or invoicing software — it doesn't send invoices or file anything. It exists so you always know, at a glance, what's outstanding and what to do about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3"/>
  <sheetViews>
    <sheetView showGridLines="0"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30" customWidth="1" min="4" max="4"/>
    <col width="13" customWidth="1" min="5" max="5"/>
    <col width="13" customWidth="1" min="6" max="6"/>
    <col width="13" customWidth="1" min="7" max="7"/>
    <col width="12" customWidth="1" min="8" max="8"/>
    <col width="13" customWidth="1" min="9" max="9"/>
  </cols>
  <sheetData>
    <row r="1">
      <c r="A1" s="5" t="inlineStr">
        <is>
          <t>Date Sent</t>
        </is>
      </c>
      <c r="B1" s="5" t="inlineStr">
        <is>
          <t>Client</t>
        </is>
      </c>
      <c r="C1" s="5" t="inlineStr">
        <is>
          <t>Invoice #</t>
        </is>
      </c>
      <c r="D1" s="5" t="inlineStr">
        <is>
          <t>Description</t>
        </is>
      </c>
      <c r="E1" s="5" t="inlineStr">
        <is>
          <t>Amount</t>
        </is>
      </c>
      <c r="F1" s="5" t="inlineStr">
        <is>
          <t>Due Date</t>
        </is>
      </c>
      <c r="G1" s="5" t="inlineStr">
        <is>
          <t>Date Paid</t>
        </is>
      </c>
      <c r="H1" s="5" t="inlineStr">
        <is>
          <t>Status</t>
        </is>
      </c>
      <c r="I1" s="5" t="inlineStr">
        <is>
          <t>Days Overdue</t>
        </is>
      </c>
    </row>
    <row r="2">
      <c r="A2" s="6" t="n"/>
      <c r="B2" s="6" t="n"/>
      <c r="C2" s="6" t="n"/>
      <c r="D2" s="6" t="n"/>
      <c r="E2" s="7" t="n"/>
      <c r="F2" s="6" t="n"/>
      <c r="G2" s="6" t="n"/>
      <c r="H2" s="6">
        <f>IF(G2&lt;&gt;"","Paid",IF(AND(F2&lt;&gt;"",F2&lt;TODAY()),"Overdue",IF(F2&lt;&gt;"","Upcoming","")))</f>
        <v/>
      </c>
      <c r="I2" s="6">
        <f>IF(AND(G2="",F2&lt;&gt;"",F2&lt;TODAY()),TODAY()-F2,"")</f>
        <v/>
      </c>
    </row>
    <row r="3">
      <c r="A3" s="6" t="n"/>
      <c r="B3" s="6" t="n"/>
      <c r="C3" s="6" t="n"/>
      <c r="D3" s="6" t="n"/>
      <c r="E3" s="7" t="n"/>
      <c r="F3" s="6" t="n"/>
      <c r="G3" s="6" t="n"/>
      <c r="H3" s="6">
        <f>IF(G3&lt;&gt;"","Paid",IF(AND(F3&lt;&gt;"",F3&lt;TODAY()),"Overdue",IF(F3&lt;&gt;"","Upcoming","")))</f>
        <v/>
      </c>
      <c r="I3" s="6">
        <f>IF(AND(G3="",F3&lt;&gt;"",F3&lt;TODAY()),TODAY()-F3,"")</f>
        <v/>
      </c>
    </row>
    <row r="4">
      <c r="A4" s="6" t="n"/>
      <c r="B4" s="6" t="n"/>
      <c r="C4" s="6" t="n"/>
      <c r="D4" s="6" t="n"/>
      <c r="E4" s="7" t="n"/>
      <c r="F4" s="6" t="n"/>
      <c r="G4" s="6" t="n"/>
      <c r="H4" s="6">
        <f>IF(G4&lt;&gt;"","Paid",IF(AND(F4&lt;&gt;"",F4&lt;TODAY()),"Overdue",IF(F4&lt;&gt;"","Upcoming","")))</f>
        <v/>
      </c>
      <c r="I4" s="6">
        <f>IF(AND(G4="",F4&lt;&gt;"",F4&lt;TODAY()),TODAY()-F4,"")</f>
        <v/>
      </c>
    </row>
    <row r="5">
      <c r="A5" s="6" t="n"/>
      <c r="B5" s="6" t="n"/>
      <c r="C5" s="6" t="n"/>
      <c r="D5" s="6" t="n"/>
      <c r="E5" s="7" t="n"/>
      <c r="F5" s="6" t="n"/>
      <c r="G5" s="6" t="n"/>
      <c r="H5" s="6">
        <f>IF(G5&lt;&gt;"","Paid",IF(AND(F5&lt;&gt;"",F5&lt;TODAY()),"Overdue",IF(F5&lt;&gt;"","Upcoming","")))</f>
        <v/>
      </c>
      <c r="I5" s="6">
        <f>IF(AND(G5="",F5&lt;&gt;"",F5&lt;TODAY()),TODAY()-F5,"")</f>
        <v/>
      </c>
    </row>
    <row r="6">
      <c r="A6" s="6" t="n"/>
      <c r="B6" s="6" t="n"/>
      <c r="C6" s="6" t="n"/>
      <c r="D6" s="6" t="n"/>
      <c r="E6" s="7" t="n"/>
      <c r="F6" s="6" t="n"/>
      <c r="G6" s="6" t="n"/>
      <c r="H6" s="6">
        <f>IF(G6&lt;&gt;"","Paid",IF(AND(F6&lt;&gt;"",F6&lt;TODAY()),"Overdue",IF(F6&lt;&gt;"","Upcoming","")))</f>
        <v/>
      </c>
      <c r="I6" s="6">
        <f>IF(AND(G6="",F6&lt;&gt;"",F6&lt;TODAY()),TODAY()-F6,"")</f>
        <v/>
      </c>
    </row>
    <row r="7">
      <c r="A7" s="6" t="n"/>
      <c r="B7" s="6" t="n"/>
      <c r="C7" s="6" t="n"/>
      <c r="D7" s="6" t="n"/>
      <c r="E7" s="7" t="n"/>
      <c r="F7" s="6" t="n"/>
      <c r="G7" s="6" t="n"/>
      <c r="H7" s="6">
        <f>IF(G7&lt;&gt;"","Paid",IF(AND(F7&lt;&gt;"",F7&lt;TODAY()),"Overdue",IF(F7&lt;&gt;"","Upcoming","")))</f>
        <v/>
      </c>
      <c r="I7" s="6">
        <f>IF(AND(G7="",F7&lt;&gt;"",F7&lt;TODAY()),TODAY()-F7,"")</f>
        <v/>
      </c>
    </row>
    <row r="8">
      <c r="A8" s="6" t="n"/>
      <c r="B8" s="6" t="n"/>
      <c r="C8" s="6" t="n"/>
      <c r="D8" s="6" t="n"/>
      <c r="E8" s="7" t="n"/>
      <c r="F8" s="6" t="n"/>
      <c r="G8" s="6" t="n"/>
      <c r="H8" s="6">
        <f>IF(G8&lt;&gt;"","Paid",IF(AND(F8&lt;&gt;"",F8&lt;TODAY()),"Overdue",IF(F8&lt;&gt;"","Upcoming","")))</f>
        <v/>
      </c>
      <c r="I8" s="6">
        <f>IF(AND(G8="",F8&lt;&gt;"",F8&lt;TODAY()),TODAY()-F8,"")</f>
        <v/>
      </c>
    </row>
    <row r="9">
      <c r="A9" s="6" t="n"/>
      <c r="B9" s="6" t="n"/>
      <c r="C9" s="6" t="n"/>
      <c r="D9" s="6" t="n"/>
      <c r="E9" s="7" t="n"/>
      <c r="F9" s="6" t="n"/>
      <c r="G9" s="6" t="n"/>
      <c r="H9" s="6">
        <f>IF(G9&lt;&gt;"","Paid",IF(AND(F9&lt;&gt;"",F9&lt;TODAY()),"Overdue",IF(F9&lt;&gt;"","Upcoming","")))</f>
        <v/>
      </c>
      <c r="I9" s="6">
        <f>IF(AND(G9="",F9&lt;&gt;"",F9&lt;TODAY()),TODAY()-F9,"")</f>
        <v/>
      </c>
    </row>
    <row r="10">
      <c r="A10" s="6" t="n"/>
      <c r="B10" s="6" t="n"/>
      <c r="C10" s="6" t="n"/>
      <c r="D10" s="6" t="n"/>
      <c r="E10" s="7" t="n"/>
      <c r="F10" s="6" t="n"/>
      <c r="G10" s="6" t="n"/>
      <c r="H10" s="6">
        <f>IF(G10&lt;&gt;"","Paid",IF(AND(F10&lt;&gt;"",F10&lt;TODAY()),"Overdue",IF(F10&lt;&gt;"","Upcoming","")))</f>
        <v/>
      </c>
      <c r="I10" s="6">
        <f>IF(AND(G10="",F10&lt;&gt;"",F10&lt;TODAY()),TODAY()-F10,"")</f>
        <v/>
      </c>
    </row>
    <row r="11">
      <c r="A11" s="6" t="n"/>
      <c r="B11" s="6" t="n"/>
      <c r="C11" s="6" t="n"/>
      <c r="D11" s="6" t="n"/>
      <c r="E11" s="7" t="n"/>
      <c r="F11" s="6" t="n"/>
      <c r="G11" s="6" t="n"/>
      <c r="H11" s="6">
        <f>IF(G11&lt;&gt;"","Paid",IF(AND(F11&lt;&gt;"",F11&lt;TODAY()),"Overdue",IF(F11&lt;&gt;"","Upcoming","")))</f>
        <v/>
      </c>
      <c r="I11" s="6">
        <f>IF(AND(G11="",F11&lt;&gt;"",F11&lt;TODAY()),TODAY()-F11,"")</f>
        <v/>
      </c>
    </row>
    <row r="12">
      <c r="A12" s="6" t="n"/>
      <c r="B12" s="6" t="n"/>
      <c r="C12" s="6" t="n"/>
      <c r="D12" s="6" t="n"/>
      <c r="E12" s="7" t="n"/>
      <c r="F12" s="6" t="n"/>
      <c r="G12" s="6" t="n"/>
      <c r="H12" s="6">
        <f>IF(G12&lt;&gt;"","Paid",IF(AND(F12&lt;&gt;"",F12&lt;TODAY()),"Overdue",IF(F12&lt;&gt;"","Upcoming","")))</f>
        <v/>
      </c>
      <c r="I12" s="6">
        <f>IF(AND(G12="",F12&lt;&gt;"",F12&lt;TODAY()),TODAY()-F12,"")</f>
        <v/>
      </c>
    </row>
    <row r="13">
      <c r="A13" s="6" t="n"/>
      <c r="B13" s="6" t="n"/>
      <c r="C13" s="6" t="n"/>
      <c r="D13" s="6" t="n"/>
      <c r="E13" s="7" t="n"/>
      <c r="F13" s="6" t="n"/>
      <c r="G13" s="6" t="n"/>
      <c r="H13" s="6">
        <f>IF(G13&lt;&gt;"","Paid",IF(AND(F13&lt;&gt;"",F13&lt;TODAY()),"Overdue",IF(F13&lt;&gt;"","Upcoming","")))</f>
        <v/>
      </c>
      <c r="I13" s="6">
        <f>IF(AND(G13="",F13&lt;&gt;"",F13&lt;TODAY()),TODAY()-F13,"")</f>
        <v/>
      </c>
    </row>
    <row r="14">
      <c r="A14" s="6" t="n"/>
      <c r="B14" s="6" t="n"/>
      <c r="C14" s="6" t="n"/>
      <c r="D14" s="6" t="n"/>
      <c r="E14" s="7" t="n"/>
      <c r="F14" s="6" t="n"/>
      <c r="G14" s="6" t="n"/>
      <c r="H14" s="6">
        <f>IF(G14&lt;&gt;"","Paid",IF(AND(F14&lt;&gt;"",F14&lt;TODAY()),"Overdue",IF(F14&lt;&gt;"","Upcoming","")))</f>
        <v/>
      </c>
      <c r="I14" s="6">
        <f>IF(AND(G14="",F14&lt;&gt;"",F14&lt;TODAY()),TODAY()-F14,"")</f>
        <v/>
      </c>
    </row>
    <row r="15">
      <c r="A15" s="6" t="n"/>
      <c r="B15" s="6" t="n"/>
      <c r="C15" s="6" t="n"/>
      <c r="D15" s="6" t="n"/>
      <c r="E15" s="7" t="n"/>
      <c r="F15" s="6" t="n"/>
      <c r="G15" s="6" t="n"/>
      <c r="H15" s="6">
        <f>IF(G15&lt;&gt;"","Paid",IF(AND(F15&lt;&gt;"",F15&lt;TODAY()),"Overdue",IF(F15&lt;&gt;"","Upcoming","")))</f>
        <v/>
      </c>
      <c r="I15" s="6">
        <f>IF(AND(G15="",F15&lt;&gt;"",F15&lt;TODAY()),TODAY()-F15,"")</f>
        <v/>
      </c>
    </row>
    <row r="16">
      <c r="A16" s="6" t="n"/>
      <c r="B16" s="6" t="n"/>
      <c r="C16" s="6" t="n"/>
      <c r="D16" s="6" t="n"/>
      <c r="E16" s="7" t="n"/>
      <c r="F16" s="6" t="n"/>
      <c r="G16" s="6" t="n"/>
      <c r="H16" s="6">
        <f>IF(G16&lt;&gt;"","Paid",IF(AND(F16&lt;&gt;"",F16&lt;TODAY()),"Overdue",IF(F16&lt;&gt;"","Upcoming","")))</f>
        <v/>
      </c>
      <c r="I16" s="6">
        <f>IF(AND(G16="",F16&lt;&gt;"",F16&lt;TODAY()),TODAY()-F16,"")</f>
        <v/>
      </c>
    </row>
    <row r="17">
      <c r="A17" s="6" t="n"/>
      <c r="B17" s="6" t="n"/>
      <c r="C17" s="6" t="n"/>
      <c r="D17" s="6" t="n"/>
      <c r="E17" s="7" t="n"/>
      <c r="F17" s="6" t="n"/>
      <c r="G17" s="6" t="n"/>
      <c r="H17" s="6">
        <f>IF(G17&lt;&gt;"","Paid",IF(AND(F17&lt;&gt;"",F17&lt;TODAY()),"Overdue",IF(F17&lt;&gt;"","Upcoming","")))</f>
        <v/>
      </c>
      <c r="I17" s="6">
        <f>IF(AND(G17="",F17&lt;&gt;"",F17&lt;TODAY()),TODAY()-F17,"")</f>
        <v/>
      </c>
    </row>
    <row r="18">
      <c r="A18" s="6" t="n"/>
      <c r="B18" s="6" t="n"/>
      <c r="C18" s="6" t="n"/>
      <c r="D18" s="6" t="n"/>
      <c r="E18" s="7" t="n"/>
      <c r="F18" s="6" t="n"/>
      <c r="G18" s="6" t="n"/>
      <c r="H18" s="6">
        <f>IF(G18&lt;&gt;"","Paid",IF(AND(F18&lt;&gt;"",F18&lt;TODAY()),"Overdue",IF(F18&lt;&gt;"","Upcoming","")))</f>
        <v/>
      </c>
      <c r="I18" s="6">
        <f>IF(AND(G18="",F18&lt;&gt;"",F18&lt;TODAY()),TODAY()-F18,"")</f>
        <v/>
      </c>
    </row>
    <row r="19">
      <c r="A19" s="6" t="n"/>
      <c r="B19" s="6" t="n"/>
      <c r="C19" s="6" t="n"/>
      <c r="D19" s="6" t="n"/>
      <c r="E19" s="7" t="n"/>
      <c r="F19" s="6" t="n"/>
      <c r="G19" s="6" t="n"/>
      <c r="H19" s="6">
        <f>IF(G19&lt;&gt;"","Paid",IF(AND(F19&lt;&gt;"",F19&lt;TODAY()),"Overdue",IF(F19&lt;&gt;"","Upcoming","")))</f>
        <v/>
      </c>
      <c r="I19" s="6">
        <f>IF(AND(G19="",F19&lt;&gt;"",F19&lt;TODAY()),TODAY()-F19,"")</f>
        <v/>
      </c>
    </row>
    <row r="20">
      <c r="A20" s="6" t="n"/>
      <c r="B20" s="6" t="n"/>
      <c r="C20" s="6" t="n"/>
      <c r="D20" s="6" t="n"/>
      <c r="E20" s="7" t="n"/>
      <c r="F20" s="6" t="n"/>
      <c r="G20" s="6" t="n"/>
      <c r="H20" s="6">
        <f>IF(G20&lt;&gt;"","Paid",IF(AND(F20&lt;&gt;"",F20&lt;TODAY()),"Overdue",IF(F20&lt;&gt;"","Upcoming","")))</f>
        <v/>
      </c>
      <c r="I20" s="6">
        <f>IF(AND(G20="",F20&lt;&gt;"",F20&lt;TODAY()),TODAY()-F20,"")</f>
        <v/>
      </c>
    </row>
    <row r="21">
      <c r="A21" s="6" t="n"/>
      <c r="B21" s="6" t="n"/>
      <c r="C21" s="6" t="n"/>
      <c r="D21" s="6" t="n"/>
      <c r="E21" s="7" t="n"/>
      <c r="F21" s="6" t="n"/>
      <c r="G21" s="6" t="n"/>
      <c r="H21" s="6">
        <f>IF(G21&lt;&gt;"","Paid",IF(AND(F21&lt;&gt;"",F21&lt;TODAY()),"Overdue",IF(F21&lt;&gt;"","Upcoming","")))</f>
        <v/>
      </c>
      <c r="I21" s="6">
        <f>IF(AND(G21="",F21&lt;&gt;"",F21&lt;TODAY()),TODAY()-F21,"")</f>
        <v/>
      </c>
    </row>
    <row r="22">
      <c r="A22" s="6" t="n"/>
      <c r="B22" s="6" t="n"/>
      <c r="C22" s="6" t="n"/>
      <c r="D22" s="6" t="n"/>
      <c r="E22" s="7" t="n"/>
      <c r="F22" s="6" t="n"/>
      <c r="G22" s="6" t="n"/>
      <c r="H22" s="6">
        <f>IF(G22&lt;&gt;"","Paid",IF(AND(F22&lt;&gt;"",F22&lt;TODAY()),"Overdue",IF(F22&lt;&gt;"","Upcoming","")))</f>
        <v/>
      </c>
      <c r="I22" s="6">
        <f>IF(AND(G22="",F22&lt;&gt;"",F22&lt;TODAY()),TODAY()-F22,"")</f>
        <v/>
      </c>
    </row>
    <row r="23">
      <c r="A23" s="6" t="n"/>
      <c r="B23" s="6" t="n"/>
      <c r="C23" s="6" t="n"/>
      <c r="D23" s="6" t="n"/>
      <c r="E23" s="7" t="n"/>
      <c r="F23" s="6" t="n"/>
      <c r="G23" s="6" t="n"/>
      <c r="H23" s="6">
        <f>IF(G23&lt;&gt;"","Paid",IF(AND(F23&lt;&gt;"",F23&lt;TODAY()),"Overdue",IF(F23&lt;&gt;"","Upcoming","")))</f>
        <v/>
      </c>
      <c r="I23" s="6">
        <f>IF(AND(G23="",F23&lt;&gt;"",F23&lt;TODAY()),TODAY()-F23,"")</f>
        <v/>
      </c>
    </row>
    <row r="24">
      <c r="A24" s="6" t="n"/>
      <c r="B24" s="6" t="n"/>
      <c r="C24" s="6" t="n"/>
      <c r="D24" s="6" t="n"/>
      <c r="E24" s="7" t="n"/>
      <c r="F24" s="6" t="n"/>
      <c r="G24" s="6" t="n"/>
      <c r="H24" s="6">
        <f>IF(G24&lt;&gt;"","Paid",IF(AND(F24&lt;&gt;"",F24&lt;TODAY()),"Overdue",IF(F24&lt;&gt;"","Upcoming","")))</f>
        <v/>
      </c>
      <c r="I24" s="6">
        <f>IF(AND(G24="",F24&lt;&gt;"",F24&lt;TODAY()),TODAY()-F24,"")</f>
        <v/>
      </c>
    </row>
    <row r="25">
      <c r="A25" s="6" t="n"/>
      <c r="B25" s="6" t="n"/>
      <c r="C25" s="6" t="n"/>
      <c r="D25" s="6" t="n"/>
      <c r="E25" s="7" t="n"/>
      <c r="F25" s="6" t="n"/>
      <c r="G25" s="6" t="n"/>
      <c r="H25" s="6">
        <f>IF(G25&lt;&gt;"","Paid",IF(AND(F25&lt;&gt;"",F25&lt;TODAY()),"Overdue",IF(F25&lt;&gt;"","Upcoming","")))</f>
        <v/>
      </c>
      <c r="I25" s="6">
        <f>IF(AND(G25="",F25&lt;&gt;"",F25&lt;TODAY()),TODAY()-F25,"")</f>
        <v/>
      </c>
    </row>
    <row r="26">
      <c r="A26" s="6" t="n"/>
      <c r="B26" s="6" t="n"/>
      <c r="C26" s="6" t="n"/>
      <c r="D26" s="6" t="n"/>
      <c r="E26" s="7" t="n"/>
      <c r="F26" s="6" t="n"/>
      <c r="G26" s="6" t="n"/>
      <c r="H26" s="6">
        <f>IF(G26&lt;&gt;"","Paid",IF(AND(F26&lt;&gt;"",F26&lt;TODAY()),"Overdue",IF(F26&lt;&gt;"","Upcoming","")))</f>
        <v/>
      </c>
      <c r="I26" s="6">
        <f>IF(AND(G26="",F26&lt;&gt;"",F26&lt;TODAY()),TODAY()-F26,"")</f>
        <v/>
      </c>
    </row>
    <row r="27">
      <c r="A27" s="6" t="n"/>
      <c r="B27" s="6" t="n"/>
      <c r="C27" s="6" t="n"/>
      <c r="D27" s="6" t="n"/>
      <c r="E27" s="7" t="n"/>
      <c r="F27" s="6" t="n"/>
      <c r="G27" s="6" t="n"/>
      <c r="H27" s="6">
        <f>IF(G27&lt;&gt;"","Paid",IF(AND(F27&lt;&gt;"",F27&lt;TODAY()),"Overdue",IF(F27&lt;&gt;"","Upcoming","")))</f>
        <v/>
      </c>
      <c r="I27" s="6">
        <f>IF(AND(G27="",F27&lt;&gt;"",F27&lt;TODAY()),TODAY()-F27,"")</f>
        <v/>
      </c>
    </row>
    <row r="28">
      <c r="A28" s="6" t="n"/>
      <c r="B28" s="6" t="n"/>
      <c r="C28" s="6" t="n"/>
      <c r="D28" s="6" t="n"/>
      <c r="E28" s="7" t="n"/>
      <c r="F28" s="6" t="n"/>
      <c r="G28" s="6" t="n"/>
      <c r="H28" s="6">
        <f>IF(G28&lt;&gt;"","Paid",IF(AND(F28&lt;&gt;"",F28&lt;TODAY()),"Overdue",IF(F28&lt;&gt;"","Upcoming","")))</f>
        <v/>
      </c>
      <c r="I28" s="6">
        <f>IF(AND(G28="",F28&lt;&gt;"",F28&lt;TODAY()),TODAY()-F28,"")</f>
        <v/>
      </c>
    </row>
    <row r="29">
      <c r="A29" s="6" t="n"/>
      <c r="B29" s="6" t="n"/>
      <c r="C29" s="6" t="n"/>
      <c r="D29" s="6" t="n"/>
      <c r="E29" s="7" t="n"/>
      <c r="F29" s="6" t="n"/>
      <c r="G29" s="6" t="n"/>
      <c r="H29" s="6">
        <f>IF(G29&lt;&gt;"","Paid",IF(AND(F29&lt;&gt;"",F29&lt;TODAY()),"Overdue",IF(F29&lt;&gt;"","Upcoming","")))</f>
        <v/>
      </c>
      <c r="I29" s="6">
        <f>IF(AND(G29="",F29&lt;&gt;"",F29&lt;TODAY()),TODAY()-F29,"")</f>
        <v/>
      </c>
    </row>
    <row r="30">
      <c r="A30" s="6" t="n"/>
      <c r="B30" s="6" t="n"/>
      <c r="C30" s="6" t="n"/>
      <c r="D30" s="6" t="n"/>
      <c r="E30" s="7" t="n"/>
      <c r="F30" s="6" t="n"/>
      <c r="G30" s="6" t="n"/>
      <c r="H30" s="6">
        <f>IF(G30&lt;&gt;"","Paid",IF(AND(F30&lt;&gt;"",F30&lt;TODAY()),"Overdue",IF(F30&lt;&gt;"","Upcoming","")))</f>
        <v/>
      </c>
      <c r="I30" s="6">
        <f>IF(AND(G30="",F30&lt;&gt;"",F30&lt;TODAY()),TODAY()-F30,"")</f>
        <v/>
      </c>
    </row>
    <row r="31">
      <c r="A31" s="6" t="n"/>
      <c r="B31" s="6" t="n"/>
      <c r="C31" s="6" t="n"/>
      <c r="D31" s="6" t="n"/>
      <c r="E31" s="7" t="n"/>
      <c r="F31" s="6" t="n"/>
      <c r="G31" s="6" t="n"/>
      <c r="H31" s="6">
        <f>IF(G31&lt;&gt;"","Paid",IF(AND(F31&lt;&gt;"",F31&lt;TODAY()),"Overdue",IF(F31&lt;&gt;"","Upcoming","")))</f>
        <v/>
      </c>
      <c r="I31" s="6">
        <f>IF(AND(G31="",F31&lt;&gt;"",F31&lt;TODAY()),TODAY()-F31,"")</f>
        <v/>
      </c>
    </row>
    <row r="32">
      <c r="A32" s="6" t="n"/>
      <c r="B32" s="6" t="n"/>
      <c r="C32" s="6" t="n"/>
      <c r="D32" s="6" t="n"/>
      <c r="E32" s="7" t="n"/>
      <c r="F32" s="6" t="n"/>
      <c r="G32" s="6" t="n"/>
      <c r="H32" s="6">
        <f>IF(G32&lt;&gt;"","Paid",IF(AND(F32&lt;&gt;"",F32&lt;TODAY()),"Overdue",IF(F32&lt;&gt;"","Upcoming","")))</f>
        <v/>
      </c>
      <c r="I32" s="6">
        <f>IF(AND(G32="",F32&lt;&gt;"",F32&lt;TODAY()),TODAY()-F32,"")</f>
        <v/>
      </c>
    </row>
    <row r="33">
      <c r="A33" s="6" t="n"/>
      <c r="B33" s="6" t="n"/>
      <c r="C33" s="6" t="n"/>
      <c r="D33" s="6" t="n"/>
      <c r="E33" s="7" t="n"/>
      <c r="F33" s="6" t="n"/>
      <c r="G33" s="6" t="n"/>
      <c r="H33" s="6">
        <f>IF(G33&lt;&gt;"","Paid",IF(AND(F33&lt;&gt;"",F33&lt;TODAY()),"Overdue",IF(F33&lt;&gt;"","Upcoming","")))</f>
        <v/>
      </c>
      <c r="I33" s="6">
        <f>IF(AND(G33="",F33&lt;&gt;"",F33&lt;TODAY()),TODAY()-F33,"")</f>
        <v/>
      </c>
    </row>
    <row r="34">
      <c r="A34" s="6" t="n"/>
      <c r="B34" s="6" t="n"/>
      <c r="C34" s="6" t="n"/>
      <c r="D34" s="6" t="n"/>
      <c r="E34" s="7" t="n"/>
      <c r="F34" s="6" t="n"/>
      <c r="G34" s="6" t="n"/>
      <c r="H34" s="6">
        <f>IF(G34&lt;&gt;"","Paid",IF(AND(F34&lt;&gt;"",F34&lt;TODAY()),"Overdue",IF(F34&lt;&gt;"","Upcoming","")))</f>
        <v/>
      </c>
      <c r="I34" s="6">
        <f>IF(AND(G34="",F34&lt;&gt;"",F34&lt;TODAY()),TODAY()-F34,"")</f>
        <v/>
      </c>
    </row>
    <row r="35">
      <c r="A35" s="6" t="n"/>
      <c r="B35" s="6" t="n"/>
      <c r="C35" s="6" t="n"/>
      <c r="D35" s="6" t="n"/>
      <c r="E35" s="7" t="n"/>
      <c r="F35" s="6" t="n"/>
      <c r="G35" s="6" t="n"/>
      <c r="H35" s="6">
        <f>IF(G35&lt;&gt;"","Paid",IF(AND(F35&lt;&gt;"",F35&lt;TODAY()),"Overdue",IF(F35&lt;&gt;"","Upcoming","")))</f>
        <v/>
      </c>
      <c r="I35" s="6">
        <f>IF(AND(G35="",F35&lt;&gt;"",F35&lt;TODAY()),TODAY()-F35,"")</f>
        <v/>
      </c>
    </row>
    <row r="36">
      <c r="A36" s="6" t="n"/>
      <c r="B36" s="6" t="n"/>
      <c r="C36" s="6" t="n"/>
      <c r="D36" s="6" t="n"/>
      <c r="E36" s="7" t="n"/>
      <c r="F36" s="6" t="n"/>
      <c r="G36" s="6" t="n"/>
      <c r="H36" s="6">
        <f>IF(G36&lt;&gt;"","Paid",IF(AND(F36&lt;&gt;"",F36&lt;TODAY()),"Overdue",IF(F36&lt;&gt;"","Upcoming","")))</f>
        <v/>
      </c>
      <c r="I36" s="6">
        <f>IF(AND(G36="",F36&lt;&gt;"",F36&lt;TODAY()),TODAY()-F36,"")</f>
        <v/>
      </c>
    </row>
    <row r="37">
      <c r="A37" s="6" t="n"/>
      <c r="B37" s="6" t="n"/>
      <c r="C37" s="6" t="n"/>
      <c r="D37" s="6" t="n"/>
      <c r="E37" s="7" t="n"/>
      <c r="F37" s="6" t="n"/>
      <c r="G37" s="6" t="n"/>
      <c r="H37" s="6">
        <f>IF(G37&lt;&gt;"","Paid",IF(AND(F37&lt;&gt;"",F37&lt;TODAY()),"Overdue",IF(F37&lt;&gt;"","Upcoming","")))</f>
        <v/>
      </c>
      <c r="I37" s="6">
        <f>IF(AND(G37="",F37&lt;&gt;"",F37&lt;TODAY()),TODAY()-F37,"")</f>
        <v/>
      </c>
    </row>
    <row r="38">
      <c r="A38" s="6" t="n"/>
      <c r="B38" s="6" t="n"/>
      <c r="C38" s="6" t="n"/>
      <c r="D38" s="6" t="n"/>
      <c r="E38" s="7" t="n"/>
      <c r="F38" s="6" t="n"/>
      <c r="G38" s="6" t="n"/>
      <c r="H38" s="6">
        <f>IF(G38&lt;&gt;"","Paid",IF(AND(F38&lt;&gt;"",F38&lt;TODAY()),"Overdue",IF(F38&lt;&gt;"","Upcoming","")))</f>
        <v/>
      </c>
      <c r="I38" s="6">
        <f>IF(AND(G38="",F38&lt;&gt;"",F38&lt;TODAY()),TODAY()-F38,"")</f>
        <v/>
      </c>
    </row>
    <row r="39">
      <c r="A39" s="6" t="n"/>
      <c r="B39" s="6" t="n"/>
      <c r="C39" s="6" t="n"/>
      <c r="D39" s="6" t="n"/>
      <c r="E39" s="7" t="n"/>
      <c r="F39" s="6" t="n"/>
      <c r="G39" s="6" t="n"/>
      <c r="H39" s="6">
        <f>IF(G39&lt;&gt;"","Paid",IF(AND(F39&lt;&gt;"",F39&lt;TODAY()),"Overdue",IF(F39&lt;&gt;"","Upcoming","")))</f>
        <v/>
      </c>
      <c r="I39" s="6">
        <f>IF(AND(G39="",F39&lt;&gt;"",F39&lt;TODAY()),TODAY()-F39,"")</f>
        <v/>
      </c>
    </row>
    <row r="40">
      <c r="A40" s="6" t="n"/>
      <c r="B40" s="6" t="n"/>
      <c r="C40" s="6" t="n"/>
      <c r="D40" s="6" t="n"/>
      <c r="E40" s="7" t="n"/>
      <c r="F40" s="6" t="n"/>
      <c r="G40" s="6" t="n"/>
      <c r="H40" s="6">
        <f>IF(G40&lt;&gt;"","Paid",IF(AND(F40&lt;&gt;"",F40&lt;TODAY()),"Overdue",IF(F40&lt;&gt;"","Upcoming","")))</f>
        <v/>
      </c>
      <c r="I40" s="6">
        <f>IF(AND(G40="",F40&lt;&gt;"",F40&lt;TODAY()),TODAY()-F40,"")</f>
        <v/>
      </c>
    </row>
    <row r="41">
      <c r="A41" s="6" t="n"/>
      <c r="B41" s="6" t="n"/>
      <c r="C41" s="6" t="n"/>
      <c r="D41" s="6" t="n"/>
      <c r="E41" s="7" t="n"/>
      <c r="F41" s="6" t="n"/>
      <c r="G41" s="6" t="n"/>
      <c r="H41" s="6">
        <f>IF(G41&lt;&gt;"","Paid",IF(AND(F41&lt;&gt;"",F41&lt;TODAY()),"Overdue",IF(F41&lt;&gt;"","Upcoming","")))</f>
        <v/>
      </c>
      <c r="I41" s="6">
        <f>IF(AND(G41="",F41&lt;&gt;"",F41&lt;TODAY()),TODAY()-F41,"")</f>
        <v/>
      </c>
    </row>
    <row r="42">
      <c r="A42" s="6" t="n"/>
      <c r="B42" s="6" t="n"/>
      <c r="C42" s="6" t="n"/>
      <c r="D42" s="6" t="n"/>
      <c r="E42" s="7" t="n"/>
      <c r="F42" s="6" t="n"/>
      <c r="G42" s="6" t="n"/>
      <c r="H42" s="6">
        <f>IF(G42&lt;&gt;"","Paid",IF(AND(F42&lt;&gt;"",F42&lt;TODAY()),"Overdue",IF(F42&lt;&gt;"","Upcoming","")))</f>
        <v/>
      </c>
      <c r="I42" s="6">
        <f>IF(AND(G42="",F42&lt;&gt;"",F42&lt;TODAY()),TODAY()-F42,"")</f>
        <v/>
      </c>
    </row>
    <row r="43">
      <c r="A43" s="6" t="n"/>
      <c r="B43" s="6" t="n"/>
      <c r="C43" s="6" t="n"/>
      <c r="D43" s="6" t="n"/>
      <c r="E43" s="7" t="n"/>
      <c r="F43" s="6" t="n"/>
      <c r="G43" s="6" t="n"/>
      <c r="H43" s="6">
        <f>IF(G43&lt;&gt;"","Paid",IF(AND(F43&lt;&gt;"",F43&lt;TODAY()),"Overdue",IF(F43&lt;&gt;"","Upcoming","")))</f>
        <v/>
      </c>
      <c r="I43" s="6">
        <f>IF(AND(G43="",F43&lt;&gt;"",F43&lt;TODAY()),TODAY()-F43,"")</f>
        <v/>
      </c>
    </row>
    <row r="44">
      <c r="A44" s="6" t="n"/>
      <c r="B44" s="6" t="n"/>
      <c r="C44" s="6" t="n"/>
      <c r="D44" s="6" t="n"/>
      <c r="E44" s="7" t="n"/>
      <c r="F44" s="6" t="n"/>
      <c r="G44" s="6" t="n"/>
      <c r="H44" s="6">
        <f>IF(G44&lt;&gt;"","Paid",IF(AND(F44&lt;&gt;"",F44&lt;TODAY()),"Overdue",IF(F44&lt;&gt;"","Upcoming","")))</f>
        <v/>
      </c>
      <c r="I44" s="6">
        <f>IF(AND(G44="",F44&lt;&gt;"",F44&lt;TODAY()),TODAY()-F44,"")</f>
        <v/>
      </c>
    </row>
    <row r="45">
      <c r="A45" s="6" t="n"/>
      <c r="B45" s="6" t="n"/>
      <c r="C45" s="6" t="n"/>
      <c r="D45" s="6" t="n"/>
      <c r="E45" s="7" t="n"/>
      <c r="F45" s="6" t="n"/>
      <c r="G45" s="6" t="n"/>
      <c r="H45" s="6">
        <f>IF(G45&lt;&gt;"","Paid",IF(AND(F45&lt;&gt;"",F45&lt;TODAY()),"Overdue",IF(F45&lt;&gt;"","Upcoming","")))</f>
        <v/>
      </c>
      <c r="I45" s="6">
        <f>IF(AND(G45="",F45&lt;&gt;"",F45&lt;TODAY()),TODAY()-F45,"")</f>
        <v/>
      </c>
    </row>
    <row r="46">
      <c r="A46" s="6" t="n"/>
      <c r="B46" s="6" t="n"/>
      <c r="C46" s="6" t="n"/>
      <c r="D46" s="6" t="n"/>
      <c r="E46" s="7" t="n"/>
      <c r="F46" s="6" t="n"/>
      <c r="G46" s="6" t="n"/>
      <c r="H46" s="6">
        <f>IF(G46&lt;&gt;"","Paid",IF(AND(F46&lt;&gt;"",F46&lt;TODAY()),"Overdue",IF(F46&lt;&gt;"","Upcoming","")))</f>
        <v/>
      </c>
      <c r="I46" s="6">
        <f>IF(AND(G46="",F46&lt;&gt;"",F46&lt;TODAY()),TODAY()-F46,"")</f>
        <v/>
      </c>
    </row>
    <row r="47">
      <c r="A47" s="6" t="n"/>
      <c r="B47" s="6" t="n"/>
      <c r="C47" s="6" t="n"/>
      <c r="D47" s="6" t="n"/>
      <c r="E47" s="7" t="n"/>
      <c r="F47" s="6" t="n"/>
      <c r="G47" s="6" t="n"/>
      <c r="H47" s="6">
        <f>IF(G47&lt;&gt;"","Paid",IF(AND(F47&lt;&gt;"",F47&lt;TODAY()),"Overdue",IF(F47&lt;&gt;"","Upcoming","")))</f>
        <v/>
      </c>
      <c r="I47" s="6">
        <f>IF(AND(G47="",F47&lt;&gt;"",F47&lt;TODAY()),TODAY()-F47,"")</f>
        <v/>
      </c>
    </row>
    <row r="48">
      <c r="A48" s="6" t="n"/>
      <c r="B48" s="6" t="n"/>
      <c r="C48" s="6" t="n"/>
      <c r="D48" s="6" t="n"/>
      <c r="E48" s="7" t="n"/>
      <c r="F48" s="6" t="n"/>
      <c r="G48" s="6" t="n"/>
      <c r="H48" s="6">
        <f>IF(G48&lt;&gt;"","Paid",IF(AND(F48&lt;&gt;"",F48&lt;TODAY()),"Overdue",IF(F48&lt;&gt;"","Upcoming","")))</f>
        <v/>
      </c>
      <c r="I48" s="6">
        <f>IF(AND(G48="",F48&lt;&gt;"",F48&lt;TODAY()),TODAY()-F48,"")</f>
        <v/>
      </c>
    </row>
    <row r="49">
      <c r="A49" s="6" t="n"/>
      <c r="B49" s="6" t="n"/>
      <c r="C49" s="6" t="n"/>
      <c r="D49" s="6" t="n"/>
      <c r="E49" s="7" t="n"/>
      <c r="F49" s="6" t="n"/>
      <c r="G49" s="6" t="n"/>
      <c r="H49" s="6">
        <f>IF(G49&lt;&gt;"","Paid",IF(AND(F49&lt;&gt;"",F49&lt;TODAY()),"Overdue",IF(F49&lt;&gt;"","Upcoming","")))</f>
        <v/>
      </c>
      <c r="I49" s="6">
        <f>IF(AND(G49="",F49&lt;&gt;"",F49&lt;TODAY()),TODAY()-F49,"")</f>
        <v/>
      </c>
    </row>
    <row r="50">
      <c r="A50" s="6" t="n"/>
      <c r="B50" s="6" t="n"/>
      <c r="C50" s="6" t="n"/>
      <c r="D50" s="6" t="n"/>
      <c r="E50" s="7" t="n"/>
      <c r="F50" s="6" t="n"/>
      <c r="G50" s="6" t="n"/>
      <c r="H50" s="6">
        <f>IF(G50&lt;&gt;"","Paid",IF(AND(F50&lt;&gt;"",F50&lt;TODAY()),"Overdue",IF(F50&lt;&gt;"","Upcoming","")))</f>
        <v/>
      </c>
      <c r="I50" s="6">
        <f>IF(AND(G50="",F50&lt;&gt;"",F50&lt;TODAY()),TODAY()-F50,"")</f>
        <v/>
      </c>
    </row>
    <row r="51">
      <c r="A51" s="6" t="n"/>
      <c r="B51" s="6" t="n"/>
      <c r="C51" s="6" t="n"/>
      <c r="D51" s="6" t="n"/>
      <c r="E51" s="7" t="n"/>
      <c r="F51" s="6" t="n"/>
      <c r="G51" s="6" t="n"/>
      <c r="H51" s="6">
        <f>IF(G51&lt;&gt;"","Paid",IF(AND(F51&lt;&gt;"",F51&lt;TODAY()),"Overdue",IF(F51&lt;&gt;"","Upcoming","")))</f>
        <v/>
      </c>
      <c r="I51" s="6">
        <f>IF(AND(G51="",F51&lt;&gt;"",F51&lt;TODAY()),TODAY()-F51,"")</f>
        <v/>
      </c>
    </row>
    <row r="52">
      <c r="A52" s="6" t="n"/>
      <c r="B52" s="6" t="n"/>
      <c r="C52" s="6" t="n"/>
      <c r="D52" s="6" t="n"/>
      <c r="E52" s="7" t="n"/>
      <c r="F52" s="6" t="n"/>
      <c r="G52" s="6" t="n"/>
      <c r="H52" s="6">
        <f>IF(G52&lt;&gt;"","Paid",IF(AND(F52&lt;&gt;"",F52&lt;TODAY()),"Overdue",IF(F52&lt;&gt;"","Upcoming","")))</f>
        <v/>
      </c>
      <c r="I52" s="6">
        <f>IF(AND(G52="",F52&lt;&gt;"",F52&lt;TODAY()),TODAY()-F52,"")</f>
        <v/>
      </c>
    </row>
    <row r="53">
      <c r="A53" s="6" t="n"/>
      <c r="B53" s="6" t="n"/>
      <c r="C53" s="6" t="n"/>
      <c r="D53" s="6" t="n"/>
      <c r="E53" s="7" t="n"/>
      <c r="F53" s="6" t="n"/>
      <c r="G53" s="6" t="n"/>
      <c r="H53" s="6">
        <f>IF(G53&lt;&gt;"","Paid",IF(AND(F53&lt;&gt;"",F53&lt;TODAY()),"Overdue",IF(F53&lt;&gt;"","Upcoming","")))</f>
        <v/>
      </c>
      <c r="I53" s="6">
        <f>IF(AND(G53="",F53&lt;&gt;"",F53&lt;TODAY()),TODAY()-F53,"")</f>
        <v/>
      </c>
    </row>
    <row r="54">
      <c r="A54" s="6" t="n"/>
      <c r="B54" s="6" t="n"/>
      <c r="C54" s="6" t="n"/>
      <c r="D54" s="6" t="n"/>
      <c r="E54" s="7" t="n"/>
      <c r="F54" s="6" t="n"/>
      <c r="G54" s="6" t="n"/>
      <c r="H54" s="6">
        <f>IF(G54&lt;&gt;"","Paid",IF(AND(F54&lt;&gt;"",F54&lt;TODAY()),"Overdue",IF(F54&lt;&gt;"","Upcoming","")))</f>
        <v/>
      </c>
      <c r="I54" s="6">
        <f>IF(AND(G54="",F54&lt;&gt;"",F54&lt;TODAY()),TODAY()-F54,"")</f>
        <v/>
      </c>
    </row>
    <row r="55">
      <c r="A55" s="6" t="n"/>
      <c r="B55" s="6" t="n"/>
      <c r="C55" s="6" t="n"/>
      <c r="D55" s="6" t="n"/>
      <c r="E55" s="7" t="n"/>
      <c r="F55" s="6" t="n"/>
      <c r="G55" s="6" t="n"/>
      <c r="H55" s="6">
        <f>IF(G55&lt;&gt;"","Paid",IF(AND(F55&lt;&gt;"",F55&lt;TODAY()),"Overdue",IF(F55&lt;&gt;"","Upcoming","")))</f>
        <v/>
      </c>
      <c r="I55" s="6">
        <f>IF(AND(G55="",F55&lt;&gt;"",F55&lt;TODAY()),TODAY()-F55,"")</f>
        <v/>
      </c>
    </row>
    <row r="56">
      <c r="A56" s="6" t="n"/>
      <c r="B56" s="6" t="n"/>
      <c r="C56" s="6" t="n"/>
      <c r="D56" s="6" t="n"/>
      <c r="E56" s="7" t="n"/>
      <c r="F56" s="6" t="n"/>
      <c r="G56" s="6" t="n"/>
      <c r="H56" s="6">
        <f>IF(G56&lt;&gt;"","Paid",IF(AND(F56&lt;&gt;"",F56&lt;TODAY()),"Overdue",IF(F56&lt;&gt;"","Upcoming","")))</f>
        <v/>
      </c>
      <c r="I56" s="6">
        <f>IF(AND(G56="",F56&lt;&gt;"",F56&lt;TODAY()),TODAY()-F56,"")</f>
        <v/>
      </c>
    </row>
    <row r="57">
      <c r="A57" s="6" t="n"/>
      <c r="B57" s="6" t="n"/>
      <c r="C57" s="6" t="n"/>
      <c r="D57" s="6" t="n"/>
      <c r="E57" s="7" t="n"/>
      <c r="F57" s="6" t="n"/>
      <c r="G57" s="6" t="n"/>
      <c r="H57" s="6">
        <f>IF(G57&lt;&gt;"","Paid",IF(AND(F57&lt;&gt;"",F57&lt;TODAY()),"Overdue",IF(F57&lt;&gt;"","Upcoming","")))</f>
        <v/>
      </c>
      <c r="I57" s="6">
        <f>IF(AND(G57="",F57&lt;&gt;"",F57&lt;TODAY()),TODAY()-F57,"")</f>
        <v/>
      </c>
    </row>
    <row r="58">
      <c r="A58" s="6" t="n"/>
      <c r="B58" s="6" t="n"/>
      <c r="C58" s="6" t="n"/>
      <c r="D58" s="6" t="n"/>
      <c r="E58" s="7" t="n"/>
      <c r="F58" s="6" t="n"/>
      <c r="G58" s="6" t="n"/>
      <c r="H58" s="6">
        <f>IF(G58&lt;&gt;"","Paid",IF(AND(F58&lt;&gt;"",F58&lt;TODAY()),"Overdue",IF(F58&lt;&gt;"","Upcoming","")))</f>
        <v/>
      </c>
      <c r="I58" s="6">
        <f>IF(AND(G58="",F58&lt;&gt;"",F58&lt;TODAY()),TODAY()-F58,"")</f>
        <v/>
      </c>
    </row>
    <row r="59">
      <c r="A59" s="6" t="n"/>
      <c r="B59" s="6" t="n"/>
      <c r="C59" s="6" t="n"/>
      <c r="D59" s="6" t="n"/>
      <c r="E59" s="7" t="n"/>
      <c r="F59" s="6" t="n"/>
      <c r="G59" s="6" t="n"/>
      <c r="H59" s="6">
        <f>IF(G59&lt;&gt;"","Paid",IF(AND(F59&lt;&gt;"",F59&lt;TODAY()),"Overdue",IF(F59&lt;&gt;"","Upcoming","")))</f>
        <v/>
      </c>
      <c r="I59" s="6">
        <f>IF(AND(G59="",F59&lt;&gt;"",F59&lt;TODAY()),TODAY()-F59,"")</f>
        <v/>
      </c>
    </row>
    <row r="60">
      <c r="A60" s="6" t="n"/>
      <c r="B60" s="6" t="n"/>
      <c r="C60" s="6" t="n"/>
      <c r="D60" s="6" t="n"/>
      <c r="E60" s="7" t="n"/>
      <c r="F60" s="6" t="n"/>
      <c r="G60" s="6" t="n"/>
      <c r="H60" s="6">
        <f>IF(G60&lt;&gt;"","Paid",IF(AND(F60&lt;&gt;"",F60&lt;TODAY()),"Overdue",IF(F60&lt;&gt;"","Upcoming","")))</f>
        <v/>
      </c>
      <c r="I60" s="6">
        <f>IF(AND(G60="",F60&lt;&gt;"",F60&lt;TODAY()),TODAY()-F60,"")</f>
        <v/>
      </c>
    </row>
    <row r="61">
      <c r="A61" s="6" t="n"/>
      <c r="B61" s="6" t="n"/>
      <c r="C61" s="6" t="n"/>
      <c r="D61" s="6" t="n"/>
      <c r="E61" s="7" t="n"/>
      <c r="F61" s="6" t="n"/>
      <c r="G61" s="6" t="n"/>
      <c r="H61" s="6">
        <f>IF(G61&lt;&gt;"","Paid",IF(AND(F61&lt;&gt;"",F61&lt;TODAY()),"Overdue",IF(F61&lt;&gt;"","Upcoming","")))</f>
        <v/>
      </c>
      <c r="I61" s="6">
        <f>IF(AND(G61="",F61&lt;&gt;"",F61&lt;TODAY()),TODAY()-F61,"")</f>
        <v/>
      </c>
    </row>
    <row r="62">
      <c r="A62" s="6" t="n"/>
      <c r="B62" s="6" t="n"/>
      <c r="C62" s="6" t="n"/>
      <c r="D62" s="6" t="n"/>
      <c r="E62" s="7" t="n"/>
      <c r="F62" s="6" t="n"/>
      <c r="G62" s="6" t="n"/>
      <c r="H62" s="6">
        <f>IF(G62&lt;&gt;"","Paid",IF(AND(F62&lt;&gt;"",F62&lt;TODAY()),"Overdue",IF(F62&lt;&gt;"","Upcoming","")))</f>
        <v/>
      </c>
      <c r="I62" s="6">
        <f>IF(AND(G62="",F62&lt;&gt;"",F62&lt;TODAY()),TODAY()-F62,"")</f>
        <v/>
      </c>
    </row>
    <row r="63">
      <c r="A63" s="6" t="n"/>
      <c r="B63" s="6" t="n"/>
      <c r="C63" s="6" t="n"/>
      <c r="D63" s="6" t="n"/>
      <c r="E63" s="7" t="n"/>
      <c r="F63" s="6" t="n"/>
      <c r="G63" s="6" t="n"/>
      <c r="H63" s="6">
        <f>IF(G63&lt;&gt;"","Paid",IF(AND(F63&lt;&gt;"",F63&lt;TODAY()),"Overdue",IF(F63&lt;&gt;"","Upcoming","")))</f>
        <v/>
      </c>
      <c r="I63" s="6">
        <f>IF(AND(G63="",F63&lt;&gt;"",F63&lt;TODAY()),TODAY()-F63,"")</f>
        <v/>
      </c>
    </row>
    <row r="64">
      <c r="A64" s="6" t="n"/>
      <c r="B64" s="6" t="n"/>
      <c r="C64" s="6" t="n"/>
      <c r="D64" s="6" t="n"/>
      <c r="E64" s="7" t="n"/>
      <c r="F64" s="6" t="n"/>
      <c r="G64" s="6" t="n"/>
      <c r="H64" s="6">
        <f>IF(G64&lt;&gt;"","Paid",IF(AND(F64&lt;&gt;"",F64&lt;TODAY()),"Overdue",IF(F64&lt;&gt;"","Upcoming","")))</f>
        <v/>
      </c>
      <c r="I64" s="6">
        <f>IF(AND(G64="",F64&lt;&gt;"",F64&lt;TODAY()),TODAY()-F64,"")</f>
        <v/>
      </c>
    </row>
    <row r="65">
      <c r="A65" s="6" t="n"/>
      <c r="B65" s="6" t="n"/>
      <c r="C65" s="6" t="n"/>
      <c r="D65" s="6" t="n"/>
      <c r="E65" s="7" t="n"/>
      <c r="F65" s="6" t="n"/>
      <c r="G65" s="6" t="n"/>
      <c r="H65" s="6">
        <f>IF(G65&lt;&gt;"","Paid",IF(AND(F65&lt;&gt;"",F65&lt;TODAY()),"Overdue",IF(F65&lt;&gt;"","Upcoming","")))</f>
        <v/>
      </c>
      <c r="I65" s="6">
        <f>IF(AND(G65="",F65&lt;&gt;"",F65&lt;TODAY()),TODAY()-F65,"")</f>
        <v/>
      </c>
    </row>
    <row r="66">
      <c r="A66" s="6" t="n"/>
      <c r="B66" s="6" t="n"/>
      <c r="C66" s="6" t="n"/>
      <c r="D66" s="6" t="n"/>
      <c r="E66" s="7" t="n"/>
      <c r="F66" s="6" t="n"/>
      <c r="G66" s="6" t="n"/>
      <c r="H66" s="6">
        <f>IF(G66&lt;&gt;"","Paid",IF(AND(F66&lt;&gt;"",F66&lt;TODAY()),"Overdue",IF(F66&lt;&gt;"","Upcoming","")))</f>
        <v/>
      </c>
      <c r="I66" s="6">
        <f>IF(AND(G66="",F66&lt;&gt;"",F66&lt;TODAY()),TODAY()-F66,"")</f>
        <v/>
      </c>
    </row>
    <row r="67">
      <c r="A67" s="6" t="n"/>
      <c r="B67" s="6" t="n"/>
      <c r="C67" s="6" t="n"/>
      <c r="D67" s="6" t="n"/>
      <c r="E67" s="7" t="n"/>
      <c r="F67" s="6" t="n"/>
      <c r="G67" s="6" t="n"/>
      <c r="H67" s="6">
        <f>IF(G67&lt;&gt;"","Paid",IF(AND(F67&lt;&gt;"",F67&lt;TODAY()),"Overdue",IF(F67&lt;&gt;"","Upcoming","")))</f>
        <v/>
      </c>
      <c r="I67" s="6">
        <f>IF(AND(G67="",F67&lt;&gt;"",F67&lt;TODAY()),TODAY()-F67,"")</f>
        <v/>
      </c>
    </row>
    <row r="68">
      <c r="A68" s="6" t="n"/>
      <c r="B68" s="6" t="n"/>
      <c r="C68" s="6" t="n"/>
      <c r="D68" s="6" t="n"/>
      <c r="E68" s="7" t="n"/>
      <c r="F68" s="6" t="n"/>
      <c r="G68" s="6" t="n"/>
      <c r="H68" s="6">
        <f>IF(G68&lt;&gt;"","Paid",IF(AND(F68&lt;&gt;"",F68&lt;TODAY()),"Overdue",IF(F68&lt;&gt;"","Upcoming","")))</f>
        <v/>
      </c>
      <c r="I68" s="6">
        <f>IF(AND(G68="",F68&lt;&gt;"",F68&lt;TODAY()),TODAY()-F68,"")</f>
        <v/>
      </c>
    </row>
    <row r="69">
      <c r="A69" s="6" t="n"/>
      <c r="B69" s="6" t="n"/>
      <c r="C69" s="6" t="n"/>
      <c r="D69" s="6" t="n"/>
      <c r="E69" s="7" t="n"/>
      <c r="F69" s="6" t="n"/>
      <c r="G69" s="6" t="n"/>
      <c r="H69" s="6">
        <f>IF(G69&lt;&gt;"","Paid",IF(AND(F69&lt;&gt;"",F69&lt;TODAY()),"Overdue",IF(F69&lt;&gt;"","Upcoming","")))</f>
        <v/>
      </c>
      <c r="I69" s="6">
        <f>IF(AND(G69="",F69&lt;&gt;"",F69&lt;TODAY()),TODAY()-F69,"")</f>
        <v/>
      </c>
    </row>
    <row r="70">
      <c r="A70" s="6" t="n"/>
      <c r="B70" s="6" t="n"/>
      <c r="C70" s="6" t="n"/>
      <c r="D70" s="6" t="n"/>
      <c r="E70" s="7" t="n"/>
      <c r="F70" s="6" t="n"/>
      <c r="G70" s="6" t="n"/>
      <c r="H70" s="6">
        <f>IF(G70&lt;&gt;"","Paid",IF(AND(F70&lt;&gt;"",F70&lt;TODAY()),"Overdue",IF(F70&lt;&gt;"","Upcoming","")))</f>
        <v/>
      </c>
      <c r="I70" s="6">
        <f>IF(AND(G70="",F70&lt;&gt;"",F70&lt;TODAY()),TODAY()-F70,"")</f>
        <v/>
      </c>
    </row>
    <row r="71">
      <c r="A71" s="6" t="n"/>
      <c r="B71" s="6" t="n"/>
      <c r="C71" s="6" t="n"/>
      <c r="D71" s="6" t="n"/>
      <c r="E71" s="7" t="n"/>
      <c r="F71" s="6" t="n"/>
      <c r="G71" s="6" t="n"/>
      <c r="H71" s="6">
        <f>IF(G71&lt;&gt;"","Paid",IF(AND(F71&lt;&gt;"",F71&lt;TODAY()),"Overdue",IF(F71&lt;&gt;"","Upcoming","")))</f>
        <v/>
      </c>
      <c r="I71" s="6">
        <f>IF(AND(G71="",F71&lt;&gt;"",F71&lt;TODAY()),TODAY()-F71,"")</f>
        <v/>
      </c>
    </row>
    <row r="72">
      <c r="A72" s="6" t="n"/>
      <c r="B72" s="6" t="n"/>
      <c r="C72" s="6" t="n"/>
      <c r="D72" s="6" t="n"/>
      <c r="E72" s="7" t="n"/>
      <c r="F72" s="6" t="n"/>
      <c r="G72" s="6" t="n"/>
      <c r="H72" s="6">
        <f>IF(G72&lt;&gt;"","Paid",IF(AND(F72&lt;&gt;"",F72&lt;TODAY()),"Overdue",IF(F72&lt;&gt;"","Upcoming","")))</f>
        <v/>
      </c>
      <c r="I72" s="6">
        <f>IF(AND(G72="",F72&lt;&gt;"",F72&lt;TODAY()),TODAY()-F72,"")</f>
        <v/>
      </c>
    </row>
    <row r="73">
      <c r="A73" s="6" t="n"/>
      <c r="B73" s="6" t="n"/>
      <c r="C73" s="6" t="n"/>
      <c r="D73" s="6" t="n"/>
      <c r="E73" s="7" t="n"/>
      <c r="F73" s="6" t="n"/>
      <c r="G73" s="6" t="n"/>
      <c r="H73" s="6">
        <f>IF(G73&lt;&gt;"","Paid",IF(AND(F73&lt;&gt;"",F73&lt;TODAY()),"Overdue",IF(F73&lt;&gt;"","Upcoming","")))</f>
        <v/>
      </c>
      <c r="I73" s="6">
        <f>IF(AND(G73="",F73&lt;&gt;"",F73&lt;TODAY()),TODAY()-F73,"")</f>
        <v/>
      </c>
    </row>
    <row r="74">
      <c r="A74" s="6" t="n"/>
      <c r="B74" s="6" t="n"/>
      <c r="C74" s="6" t="n"/>
      <c r="D74" s="6" t="n"/>
      <c r="E74" s="7" t="n"/>
      <c r="F74" s="6" t="n"/>
      <c r="G74" s="6" t="n"/>
      <c r="H74" s="6">
        <f>IF(G74&lt;&gt;"","Paid",IF(AND(F74&lt;&gt;"",F74&lt;TODAY()),"Overdue",IF(F74&lt;&gt;"","Upcoming","")))</f>
        <v/>
      </c>
      <c r="I74" s="6">
        <f>IF(AND(G74="",F74&lt;&gt;"",F74&lt;TODAY()),TODAY()-F74,"")</f>
        <v/>
      </c>
    </row>
    <row r="75">
      <c r="A75" s="6" t="n"/>
      <c r="B75" s="6" t="n"/>
      <c r="C75" s="6" t="n"/>
      <c r="D75" s="6" t="n"/>
      <c r="E75" s="7" t="n"/>
      <c r="F75" s="6" t="n"/>
      <c r="G75" s="6" t="n"/>
      <c r="H75" s="6">
        <f>IF(G75&lt;&gt;"","Paid",IF(AND(F75&lt;&gt;"",F75&lt;TODAY()),"Overdue",IF(F75&lt;&gt;"","Upcoming","")))</f>
        <v/>
      </c>
      <c r="I75" s="6">
        <f>IF(AND(G75="",F75&lt;&gt;"",F75&lt;TODAY()),TODAY()-F75,"")</f>
        <v/>
      </c>
    </row>
    <row r="76">
      <c r="A76" s="6" t="n"/>
      <c r="B76" s="6" t="n"/>
      <c r="C76" s="6" t="n"/>
      <c r="D76" s="6" t="n"/>
      <c r="E76" s="7" t="n"/>
      <c r="F76" s="6" t="n"/>
      <c r="G76" s="6" t="n"/>
      <c r="H76" s="6">
        <f>IF(G76&lt;&gt;"","Paid",IF(AND(F76&lt;&gt;"",F76&lt;TODAY()),"Overdue",IF(F76&lt;&gt;"","Upcoming","")))</f>
        <v/>
      </c>
      <c r="I76" s="6">
        <f>IF(AND(G76="",F76&lt;&gt;"",F76&lt;TODAY()),TODAY()-F76,"")</f>
        <v/>
      </c>
    </row>
    <row r="77">
      <c r="A77" s="6" t="n"/>
      <c r="B77" s="6" t="n"/>
      <c r="C77" s="6" t="n"/>
      <c r="D77" s="6" t="n"/>
      <c r="E77" s="7" t="n"/>
      <c r="F77" s="6" t="n"/>
      <c r="G77" s="6" t="n"/>
      <c r="H77" s="6">
        <f>IF(G77&lt;&gt;"","Paid",IF(AND(F77&lt;&gt;"",F77&lt;TODAY()),"Overdue",IF(F77&lt;&gt;"","Upcoming","")))</f>
        <v/>
      </c>
      <c r="I77" s="6">
        <f>IF(AND(G77="",F77&lt;&gt;"",F77&lt;TODAY()),TODAY()-F77,"")</f>
        <v/>
      </c>
    </row>
    <row r="78">
      <c r="A78" s="6" t="n"/>
      <c r="B78" s="6" t="n"/>
      <c r="C78" s="6" t="n"/>
      <c r="D78" s="6" t="n"/>
      <c r="E78" s="7" t="n"/>
      <c r="F78" s="6" t="n"/>
      <c r="G78" s="6" t="n"/>
      <c r="H78" s="6">
        <f>IF(G78&lt;&gt;"","Paid",IF(AND(F78&lt;&gt;"",F78&lt;TODAY()),"Overdue",IF(F78&lt;&gt;"","Upcoming","")))</f>
        <v/>
      </c>
      <c r="I78" s="6">
        <f>IF(AND(G78="",F78&lt;&gt;"",F78&lt;TODAY()),TODAY()-F78,"")</f>
        <v/>
      </c>
    </row>
    <row r="79">
      <c r="A79" s="6" t="n"/>
      <c r="B79" s="6" t="n"/>
      <c r="C79" s="6" t="n"/>
      <c r="D79" s="6" t="n"/>
      <c r="E79" s="7" t="n"/>
      <c r="F79" s="6" t="n"/>
      <c r="G79" s="6" t="n"/>
      <c r="H79" s="6">
        <f>IF(G79&lt;&gt;"","Paid",IF(AND(F79&lt;&gt;"",F79&lt;TODAY()),"Overdue",IF(F79&lt;&gt;"","Upcoming","")))</f>
        <v/>
      </c>
      <c r="I79" s="6">
        <f>IF(AND(G79="",F79&lt;&gt;"",F79&lt;TODAY()),TODAY()-F79,"")</f>
        <v/>
      </c>
    </row>
    <row r="80">
      <c r="A80" s="6" t="n"/>
      <c r="B80" s="6" t="n"/>
      <c r="C80" s="6" t="n"/>
      <c r="D80" s="6" t="n"/>
      <c r="E80" s="7" t="n"/>
      <c r="F80" s="6" t="n"/>
      <c r="G80" s="6" t="n"/>
      <c r="H80" s="6">
        <f>IF(G80&lt;&gt;"","Paid",IF(AND(F80&lt;&gt;"",F80&lt;TODAY()),"Overdue",IF(F80&lt;&gt;"","Upcoming","")))</f>
        <v/>
      </c>
      <c r="I80" s="6">
        <f>IF(AND(G80="",F80&lt;&gt;"",F80&lt;TODAY()),TODAY()-F80,"")</f>
        <v/>
      </c>
    </row>
    <row r="81">
      <c r="A81" s="6" t="n"/>
      <c r="B81" s="6" t="n"/>
      <c r="C81" s="6" t="n"/>
      <c r="D81" s="6" t="n"/>
      <c r="E81" s="7" t="n"/>
      <c r="F81" s="6" t="n"/>
      <c r="G81" s="6" t="n"/>
      <c r="H81" s="6">
        <f>IF(G81&lt;&gt;"","Paid",IF(AND(F81&lt;&gt;"",F81&lt;TODAY()),"Overdue",IF(F81&lt;&gt;"","Upcoming","")))</f>
        <v/>
      </c>
      <c r="I81" s="6">
        <f>IF(AND(G81="",F81&lt;&gt;"",F81&lt;TODAY()),TODAY()-F81,"")</f>
        <v/>
      </c>
    </row>
    <row r="82">
      <c r="A82" s="6" t="n"/>
      <c r="B82" s="6" t="n"/>
      <c r="C82" s="6" t="n"/>
      <c r="D82" s="6" t="n"/>
      <c r="E82" s="7" t="n"/>
      <c r="F82" s="6" t="n"/>
      <c r="G82" s="6" t="n"/>
      <c r="H82" s="6">
        <f>IF(G82&lt;&gt;"","Paid",IF(AND(F82&lt;&gt;"",F82&lt;TODAY()),"Overdue",IF(F82&lt;&gt;"","Upcoming","")))</f>
        <v/>
      </c>
      <c r="I82" s="6">
        <f>IF(AND(G82="",F82&lt;&gt;"",F82&lt;TODAY()),TODAY()-F82,"")</f>
        <v/>
      </c>
    </row>
    <row r="83">
      <c r="A83" s="6" t="n"/>
      <c r="B83" s="6" t="n"/>
      <c r="C83" s="6" t="n"/>
      <c r="D83" s="6" t="n"/>
      <c r="E83" s="7" t="n"/>
      <c r="F83" s="6" t="n"/>
      <c r="G83" s="6" t="n"/>
      <c r="H83" s="6">
        <f>IF(G83&lt;&gt;"","Paid",IF(AND(F83&lt;&gt;"",F83&lt;TODAY()),"Overdue",IF(F83&lt;&gt;"","Upcoming","")))</f>
        <v/>
      </c>
      <c r="I83" s="6">
        <f>IF(AND(G83="",F83&lt;&gt;"",F83&lt;TODAY()),TODAY()-F83,"")</f>
        <v/>
      </c>
    </row>
    <row r="84">
      <c r="A84" s="6" t="n"/>
      <c r="B84" s="6" t="n"/>
      <c r="C84" s="6" t="n"/>
      <c r="D84" s="6" t="n"/>
      <c r="E84" s="7" t="n"/>
      <c r="F84" s="6" t="n"/>
      <c r="G84" s="6" t="n"/>
      <c r="H84" s="6">
        <f>IF(G84&lt;&gt;"","Paid",IF(AND(F84&lt;&gt;"",F84&lt;TODAY()),"Overdue",IF(F84&lt;&gt;"","Upcoming","")))</f>
        <v/>
      </c>
      <c r="I84" s="6">
        <f>IF(AND(G84="",F84&lt;&gt;"",F84&lt;TODAY()),TODAY()-F84,"")</f>
        <v/>
      </c>
    </row>
    <row r="85">
      <c r="A85" s="6" t="n"/>
      <c r="B85" s="6" t="n"/>
      <c r="C85" s="6" t="n"/>
      <c r="D85" s="6" t="n"/>
      <c r="E85" s="7" t="n"/>
      <c r="F85" s="6" t="n"/>
      <c r="G85" s="6" t="n"/>
      <c r="H85" s="6">
        <f>IF(G85&lt;&gt;"","Paid",IF(AND(F85&lt;&gt;"",F85&lt;TODAY()),"Overdue",IF(F85&lt;&gt;"","Upcoming","")))</f>
        <v/>
      </c>
      <c r="I85" s="6">
        <f>IF(AND(G85="",F85&lt;&gt;"",F85&lt;TODAY()),TODAY()-F85,"")</f>
        <v/>
      </c>
    </row>
    <row r="86">
      <c r="A86" s="6" t="n"/>
      <c r="B86" s="6" t="n"/>
      <c r="C86" s="6" t="n"/>
      <c r="D86" s="6" t="n"/>
      <c r="E86" s="7" t="n"/>
      <c r="F86" s="6" t="n"/>
      <c r="G86" s="6" t="n"/>
      <c r="H86" s="6">
        <f>IF(G86&lt;&gt;"","Paid",IF(AND(F86&lt;&gt;"",F86&lt;TODAY()),"Overdue",IF(F86&lt;&gt;"","Upcoming","")))</f>
        <v/>
      </c>
      <c r="I86" s="6">
        <f>IF(AND(G86="",F86&lt;&gt;"",F86&lt;TODAY()),TODAY()-F86,"")</f>
        <v/>
      </c>
    </row>
    <row r="87">
      <c r="A87" s="6" t="n"/>
      <c r="B87" s="6" t="n"/>
      <c r="C87" s="6" t="n"/>
      <c r="D87" s="6" t="n"/>
      <c r="E87" s="7" t="n"/>
      <c r="F87" s="6" t="n"/>
      <c r="G87" s="6" t="n"/>
      <c r="H87" s="6">
        <f>IF(G87&lt;&gt;"","Paid",IF(AND(F87&lt;&gt;"",F87&lt;TODAY()),"Overdue",IF(F87&lt;&gt;"","Upcoming","")))</f>
        <v/>
      </c>
      <c r="I87" s="6">
        <f>IF(AND(G87="",F87&lt;&gt;"",F87&lt;TODAY()),TODAY()-F87,"")</f>
        <v/>
      </c>
    </row>
    <row r="88">
      <c r="A88" s="6" t="n"/>
      <c r="B88" s="6" t="n"/>
      <c r="C88" s="6" t="n"/>
      <c r="D88" s="6" t="n"/>
      <c r="E88" s="7" t="n"/>
      <c r="F88" s="6" t="n"/>
      <c r="G88" s="6" t="n"/>
      <c r="H88" s="6">
        <f>IF(G88&lt;&gt;"","Paid",IF(AND(F88&lt;&gt;"",F88&lt;TODAY()),"Overdue",IF(F88&lt;&gt;"","Upcoming","")))</f>
        <v/>
      </c>
      <c r="I88" s="6">
        <f>IF(AND(G88="",F88&lt;&gt;"",F88&lt;TODAY()),TODAY()-F88,"")</f>
        <v/>
      </c>
    </row>
    <row r="89">
      <c r="A89" s="6" t="n"/>
      <c r="B89" s="6" t="n"/>
      <c r="C89" s="6" t="n"/>
      <c r="D89" s="6" t="n"/>
      <c r="E89" s="7" t="n"/>
      <c r="F89" s="6" t="n"/>
      <c r="G89" s="6" t="n"/>
      <c r="H89" s="6">
        <f>IF(G89&lt;&gt;"","Paid",IF(AND(F89&lt;&gt;"",F89&lt;TODAY()),"Overdue",IF(F89&lt;&gt;"","Upcoming","")))</f>
        <v/>
      </c>
      <c r="I89" s="6">
        <f>IF(AND(G89="",F89&lt;&gt;"",F89&lt;TODAY()),TODAY()-F89,"")</f>
        <v/>
      </c>
    </row>
    <row r="90">
      <c r="A90" s="6" t="n"/>
      <c r="B90" s="6" t="n"/>
      <c r="C90" s="6" t="n"/>
      <c r="D90" s="6" t="n"/>
      <c r="E90" s="7" t="n"/>
      <c r="F90" s="6" t="n"/>
      <c r="G90" s="6" t="n"/>
      <c r="H90" s="6">
        <f>IF(G90&lt;&gt;"","Paid",IF(AND(F90&lt;&gt;"",F90&lt;TODAY()),"Overdue",IF(F90&lt;&gt;"","Upcoming","")))</f>
        <v/>
      </c>
      <c r="I90" s="6">
        <f>IF(AND(G90="",F90&lt;&gt;"",F90&lt;TODAY()),TODAY()-F90,"")</f>
        <v/>
      </c>
    </row>
    <row r="91">
      <c r="A91" s="6" t="n"/>
      <c r="B91" s="6" t="n"/>
      <c r="C91" s="6" t="n"/>
      <c r="D91" s="6" t="n"/>
      <c r="E91" s="7" t="n"/>
      <c r="F91" s="6" t="n"/>
      <c r="G91" s="6" t="n"/>
      <c r="H91" s="6">
        <f>IF(G91&lt;&gt;"","Paid",IF(AND(F91&lt;&gt;"",F91&lt;TODAY()),"Overdue",IF(F91&lt;&gt;"","Upcoming","")))</f>
        <v/>
      </c>
      <c r="I91" s="6">
        <f>IF(AND(G91="",F91&lt;&gt;"",F91&lt;TODAY()),TODAY()-F91,"")</f>
        <v/>
      </c>
    </row>
    <row r="92">
      <c r="A92" s="6" t="n"/>
      <c r="B92" s="6" t="n"/>
      <c r="C92" s="6" t="n"/>
      <c r="D92" s="6" t="n"/>
      <c r="E92" s="7" t="n"/>
      <c r="F92" s="6" t="n"/>
      <c r="G92" s="6" t="n"/>
      <c r="H92" s="6">
        <f>IF(G92&lt;&gt;"","Paid",IF(AND(F92&lt;&gt;"",F92&lt;TODAY()),"Overdue",IF(F92&lt;&gt;"","Upcoming","")))</f>
        <v/>
      </c>
      <c r="I92" s="6">
        <f>IF(AND(G92="",F92&lt;&gt;"",F92&lt;TODAY()),TODAY()-F92,"")</f>
        <v/>
      </c>
    </row>
    <row r="93">
      <c r="A93" s="6" t="n"/>
      <c r="B93" s="6" t="n"/>
      <c r="C93" s="6" t="n"/>
      <c r="D93" s="6" t="n"/>
      <c r="E93" s="7" t="n"/>
      <c r="F93" s="6" t="n"/>
      <c r="G93" s="6" t="n"/>
      <c r="H93" s="6">
        <f>IF(G93&lt;&gt;"","Paid",IF(AND(F93&lt;&gt;"",F93&lt;TODAY()),"Overdue",IF(F93&lt;&gt;"","Upcoming","")))</f>
        <v/>
      </c>
      <c r="I93" s="6">
        <f>IF(AND(G93="",F93&lt;&gt;"",F93&lt;TODAY()),TODAY()-F93,"")</f>
        <v/>
      </c>
    </row>
    <row r="94">
      <c r="A94" s="6" t="n"/>
      <c r="B94" s="6" t="n"/>
      <c r="C94" s="6" t="n"/>
      <c r="D94" s="6" t="n"/>
      <c r="E94" s="7" t="n"/>
      <c r="F94" s="6" t="n"/>
      <c r="G94" s="6" t="n"/>
      <c r="H94" s="6">
        <f>IF(G94&lt;&gt;"","Paid",IF(AND(F94&lt;&gt;"",F94&lt;TODAY()),"Overdue",IF(F94&lt;&gt;"","Upcoming","")))</f>
        <v/>
      </c>
      <c r="I94" s="6">
        <f>IF(AND(G94="",F94&lt;&gt;"",F94&lt;TODAY()),TODAY()-F94,"")</f>
        <v/>
      </c>
    </row>
    <row r="95">
      <c r="A95" s="6" t="n"/>
      <c r="B95" s="6" t="n"/>
      <c r="C95" s="6" t="n"/>
      <c r="D95" s="6" t="n"/>
      <c r="E95" s="7" t="n"/>
      <c r="F95" s="6" t="n"/>
      <c r="G95" s="6" t="n"/>
      <c r="H95" s="6">
        <f>IF(G95&lt;&gt;"","Paid",IF(AND(F95&lt;&gt;"",F95&lt;TODAY()),"Overdue",IF(F95&lt;&gt;"","Upcoming","")))</f>
        <v/>
      </c>
      <c r="I95" s="6">
        <f>IF(AND(G95="",F95&lt;&gt;"",F95&lt;TODAY()),TODAY()-F95,"")</f>
        <v/>
      </c>
    </row>
    <row r="96">
      <c r="A96" s="6" t="n"/>
      <c r="B96" s="6" t="n"/>
      <c r="C96" s="6" t="n"/>
      <c r="D96" s="6" t="n"/>
      <c r="E96" s="7" t="n"/>
      <c r="F96" s="6" t="n"/>
      <c r="G96" s="6" t="n"/>
      <c r="H96" s="6">
        <f>IF(G96&lt;&gt;"","Paid",IF(AND(F96&lt;&gt;"",F96&lt;TODAY()),"Overdue",IF(F96&lt;&gt;"","Upcoming","")))</f>
        <v/>
      </c>
      <c r="I96" s="6">
        <f>IF(AND(G96="",F96&lt;&gt;"",F96&lt;TODAY()),TODAY()-F96,"")</f>
        <v/>
      </c>
    </row>
    <row r="97">
      <c r="A97" s="6" t="n"/>
      <c r="B97" s="6" t="n"/>
      <c r="C97" s="6" t="n"/>
      <c r="D97" s="6" t="n"/>
      <c r="E97" s="7" t="n"/>
      <c r="F97" s="6" t="n"/>
      <c r="G97" s="6" t="n"/>
      <c r="H97" s="6">
        <f>IF(G97&lt;&gt;"","Paid",IF(AND(F97&lt;&gt;"",F97&lt;TODAY()),"Overdue",IF(F97&lt;&gt;"","Upcoming","")))</f>
        <v/>
      </c>
      <c r="I97" s="6">
        <f>IF(AND(G97="",F97&lt;&gt;"",F97&lt;TODAY()),TODAY()-F97,"")</f>
        <v/>
      </c>
    </row>
    <row r="98">
      <c r="A98" s="6" t="n"/>
      <c r="B98" s="6" t="n"/>
      <c r="C98" s="6" t="n"/>
      <c r="D98" s="6" t="n"/>
      <c r="E98" s="7" t="n"/>
      <c r="F98" s="6" t="n"/>
      <c r="G98" s="6" t="n"/>
      <c r="H98" s="6">
        <f>IF(G98&lt;&gt;"","Paid",IF(AND(F98&lt;&gt;"",F98&lt;TODAY()),"Overdue",IF(F98&lt;&gt;"","Upcoming","")))</f>
        <v/>
      </c>
      <c r="I98" s="6">
        <f>IF(AND(G98="",F98&lt;&gt;"",F98&lt;TODAY()),TODAY()-F98,"")</f>
        <v/>
      </c>
    </row>
    <row r="99">
      <c r="A99" s="6" t="n"/>
      <c r="B99" s="6" t="n"/>
      <c r="C99" s="6" t="n"/>
      <c r="D99" s="6" t="n"/>
      <c r="E99" s="7" t="n"/>
      <c r="F99" s="6" t="n"/>
      <c r="G99" s="6" t="n"/>
      <c r="H99" s="6">
        <f>IF(G99&lt;&gt;"","Paid",IF(AND(F99&lt;&gt;"",F99&lt;TODAY()),"Overdue",IF(F99&lt;&gt;"","Upcoming","")))</f>
        <v/>
      </c>
      <c r="I99" s="6">
        <f>IF(AND(G99="",F99&lt;&gt;"",F99&lt;TODAY()),TODAY()-F99,"")</f>
        <v/>
      </c>
    </row>
    <row r="100">
      <c r="A100" s="6" t="n"/>
      <c r="B100" s="6" t="n"/>
      <c r="C100" s="6" t="n"/>
      <c r="D100" s="6" t="n"/>
      <c r="E100" s="7" t="n"/>
      <c r="F100" s="6" t="n"/>
      <c r="G100" s="6" t="n"/>
      <c r="H100" s="6">
        <f>IF(G100&lt;&gt;"","Paid",IF(AND(F100&lt;&gt;"",F100&lt;TODAY()),"Overdue",IF(F100&lt;&gt;"","Upcoming","")))</f>
        <v/>
      </c>
      <c r="I100" s="6">
        <f>IF(AND(G100="",F100&lt;&gt;"",F100&lt;TODAY()),TODAY()-F100,"")</f>
        <v/>
      </c>
    </row>
    <row r="101">
      <c r="A101" s="6" t="n"/>
      <c r="B101" s="6" t="n"/>
      <c r="C101" s="6" t="n"/>
      <c r="D101" s="6" t="n"/>
      <c r="E101" s="7" t="n"/>
      <c r="F101" s="6" t="n"/>
      <c r="G101" s="6" t="n"/>
      <c r="H101" s="6">
        <f>IF(G101&lt;&gt;"","Paid",IF(AND(F101&lt;&gt;"",F101&lt;TODAY()),"Overdue",IF(F101&lt;&gt;"","Upcoming","")))</f>
        <v/>
      </c>
      <c r="I101" s="6">
        <f>IF(AND(G101="",F101&lt;&gt;"",F101&lt;TODAY()),TODAY()-F101,"")</f>
        <v/>
      </c>
    </row>
    <row r="102">
      <c r="A102" s="6" t="n"/>
      <c r="B102" s="6" t="n"/>
      <c r="C102" s="6" t="n"/>
      <c r="D102" s="6" t="n"/>
      <c r="E102" s="7" t="n"/>
      <c r="F102" s="6" t="n"/>
      <c r="G102" s="6" t="n"/>
      <c r="H102" s="6">
        <f>IF(G102&lt;&gt;"","Paid",IF(AND(F102&lt;&gt;"",F102&lt;TODAY()),"Overdue",IF(F102&lt;&gt;"","Upcoming","")))</f>
        <v/>
      </c>
      <c r="I102" s="6">
        <f>IF(AND(G102="",F102&lt;&gt;"",F102&lt;TODAY()),TODAY()-F102,"")</f>
        <v/>
      </c>
    </row>
    <row r="103">
      <c r="A103" s="6" t="n"/>
      <c r="B103" s="6" t="n"/>
      <c r="C103" s="6" t="n"/>
      <c r="D103" s="6" t="n"/>
      <c r="E103" s="7" t="n"/>
      <c r="F103" s="6" t="n"/>
      <c r="G103" s="6" t="n"/>
      <c r="H103" s="6">
        <f>IF(G103&lt;&gt;"","Paid",IF(AND(F103&lt;&gt;"",F103&lt;TODAY()),"Overdue",IF(F103&lt;&gt;"","Upcoming","")))</f>
        <v/>
      </c>
      <c r="I103" s="6">
        <f>IF(AND(G103="",F103&lt;&gt;"",F103&lt;TODAY()),TODAY()-F103,"")</f>
        <v/>
      </c>
    </row>
    <row r="104">
      <c r="A104" s="6" t="n"/>
      <c r="B104" s="6" t="n"/>
      <c r="C104" s="6" t="n"/>
      <c r="D104" s="6" t="n"/>
      <c r="E104" s="7" t="n"/>
      <c r="F104" s="6" t="n"/>
      <c r="G104" s="6" t="n"/>
      <c r="H104" s="6">
        <f>IF(G104&lt;&gt;"","Paid",IF(AND(F104&lt;&gt;"",F104&lt;TODAY()),"Overdue",IF(F104&lt;&gt;"","Upcoming","")))</f>
        <v/>
      </c>
      <c r="I104" s="6">
        <f>IF(AND(G104="",F104&lt;&gt;"",F104&lt;TODAY()),TODAY()-F104,"")</f>
        <v/>
      </c>
    </row>
    <row r="105">
      <c r="A105" s="6" t="n"/>
      <c r="B105" s="6" t="n"/>
      <c r="C105" s="6" t="n"/>
      <c r="D105" s="6" t="n"/>
      <c r="E105" s="7" t="n"/>
      <c r="F105" s="6" t="n"/>
      <c r="G105" s="6" t="n"/>
      <c r="H105" s="6">
        <f>IF(G105&lt;&gt;"","Paid",IF(AND(F105&lt;&gt;"",F105&lt;TODAY()),"Overdue",IF(F105&lt;&gt;"","Upcoming","")))</f>
        <v/>
      </c>
      <c r="I105" s="6">
        <f>IF(AND(G105="",F105&lt;&gt;"",F105&lt;TODAY()),TODAY()-F105,"")</f>
        <v/>
      </c>
    </row>
    <row r="106">
      <c r="A106" s="6" t="n"/>
      <c r="B106" s="6" t="n"/>
      <c r="C106" s="6" t="n"/>
      <c r="D106" s="6" t="n"/>
      <c r="E106" s="7" t="n"/>
      <c r="F106" s="6" t="n"/>
      <c r="G106" s="6" t="n"/>
      <c r="H106" s="6">
        <f>IF(G106&lt;&gt;"","Paid",IF(AND(F106&lt;&gt;"",F106&lt;TODAY()),"Overdue",IF(F106&lt;&gt;"","Upcoming","")))</f>
        <v/>
      </c>
      <c r="I106" s="6">
        <f>IF(AND(G106="",F106&lt;&gt;"",F106&lt;TODAY()),TODAY()-F106,"")</f>
        <v/>
      </c>
    </row>
    <row r="107">
      <c r="A107" s="6" t="n"/>
      <c r="B107" s="6" t="n"/>
      <c r="C107" s="6" t="n"/>
      <c r="D107" s="6" t="n"/>
      <c r="E107" s="7" t="n"/>
      <c r="F107" s="6" t="n"/>
      <c r="G107" s="6" t="n"/>
      <c r="H107" s="6">
        <f>IF(G107&lt;&gt;"","Paid",IF(AND(F107&lt;&gt;"",F107&lt;TODAY()),"Overdue",IF(F107&lt;&gt;"","Upcoming","")))</f>
        <v/>
      </c>
      <c r="I107" s="6">
        <f>IF(AND(G107="",F107&lt;&gt;"",F107&lt;TODAY()),TODAY()-F107,"")</f>
        <v/>
      </c>
    </row>
    <row r="108">
      <c r="A108" s="6" t="n"/>
      <c r="B108" s="6" t="n"/>
      <c r="C108" s="6" t="n"/>
      <c r="D108" s="6" t="n"/>
      <c r="E108" s="7" t="n"/>
      <c r="F108" s="6" t="n"/>
      <c r="G108" s="6" t="n"/>
      <c r="H108" s="6">
        <f>IF(G108&lt;&gt;"","Paid",IF(AND(F108&lt;&gt;"",F108&lt;TODAY()),"Overdue",IF(F108&lt;&gt;"","Upcoming","")))</f>
        <v/>
      </c>
      <c r="I108" s="6">
        <f>IF(AND(G108="",F108&lt;&gt;"",F108&lt;TODAY()),TODAY()-F108,"")</f>
        <v/>
      </c>
    </row>
    <row r="109">
      <c r="A109" s="6" t="n"/>
      <c r="B109" s="6" t="n"/>
      <c r="C109" s="6" t="n"/>
      <c r="D109" s="6" t="n"/>
      <c r="E109" s="7" t="n"/>
      <c r="F109" s="6" t="n"/>
      <c r="G109" s="6" t="n"/>
      <c r="H109" s="6">
        <f>IF(G109&lt;&gt;"","Paid",IF(AND(F109&lt;&gt;"",F109&lt;TODAY()),"Overdue",IF(F109&lt;&gt;"","Upcoming","")))</f>
        <v/>
      </c>
      <c r="I109" s="6">
        <f>IF(AND(G109="",F109&lt;&gt;"",F109&lt;TODAY()),TODAY()-F109,"")</f>
        <v/>
      </c>
    </row>
    <row r="110">
      <c r="A110" s="6" t="n"/>
      <c r="B110" s="6" t="n"/>
      <c r="C110" s="6" t="n"/>
      <c r="D110" s="6" t="n"/>
      <c r="E110" s="7" t="n"/>
      <c r="F110" s="6" t="n"/>
      <c r="G110" s="6" t="n"/>
      <c r="H110" s="6">
        <f>IF(G110&lt;&gt;"","Paid",IF(AND(F110&lt;&gt;"",F110&lt;TODAY()),"Overdue",IF(F110&lt;&gt;"","Upcoming","")))</f>
        <v/>
      </c>
      <c r="I110" s="6">
        <f>IF(AND(G110="",F110&lt;&gt;"",F110&lt;TODAY()),TODAY()-F110,"")</f>
        <v/>
      </c>
    </row>
    <row r="111">
      <c r="A111" s="6" t="n"/>
      <c r="B111" s="6" t="n"/>
      <c r="C111" s="6" t="n"/>
      <c r="D111" s="6" t="n"/>
      <c r="E111" s="7" t="n"/>
      <c r="F111" s="6" t="n"/>
      <c r="G111" s="6" t="n"/>
      <c r="H111" s="6">
        <f>IF(G111&lt;&gt;"","Paid",IF(AND(F111&lt;&gt;"",F111&lt;TODAY()),"Overdue",IF(F111&lt;&gt;"","Upcoming","")))</f>
        <v/>
      </c>
      <c r="I111" s="6">
        <f>IF(AND(G111="",F111&lt;&gt;"",F111&lt;TODAY()),TODAY()-F111,"")</f>
        <v/>
      </c>
    </row>
    <row r="112">
      <c r="A112" s="6" t="n"/>
      <c r="B112" s="6" t="n"/>
      <c r="C112" s="6" t="n"/>
      <c r="D112" s="6" t="n"/>
      <c r="E112" s="7" t="n"/>
      <c r="F112" s="6" t="n"/>
      <c r="G112" s="6" t="n"/>
      <c r="H112" s="6">
        <f>IF(G112&lt;&gt;"","Paid",IF(AND(F112&lt;&gt;"",F112&lt;TODAY()),"Overdue",IF(F112&lt;&gt;"","Upcoming","")))</f>
        <v/>
      </c>
      <c r="I112" s="6">
        <f>IF(AND(G112="",F112&lt;&gt;"",F112&lt;TODAY()),TODAY()-F112,"")</f>
        <v/>
      </c>
    </row>
    <row r="113">
      <c r="A113" s="6" t="n"/>
      <c r="B113" s="6" t="n"/>
      <c r="C113" s="6" t="n"/>
      <c r="D113" s="6" t="n"/>
      <c r="E113" s="7" t="n"/>
      <c r="F113" s="6" t="n"/>
      <c r="G113" s="6" t="n"/>
      <c r="H113" s="6">
        <f>IF(G113&lt;&gt;"","Paid",IF(AND(F113&lt;&gt;"",F113&lt;TODAY()),"Overdue",IF(F113&lt;&gt;"","Upcoming","")))</f>
        <v/>
      </c>
      <c r="I113" s="6">
        <f>IF(AND(G113="",F113&lt;&gt;"",F113&lt;TODAY()),TODAY()-F113,"")</f>
        <v/>
      </c>
    </row>
    <row r="114">
      <c r="A114" s="6" t="n"/>
      <c r="B114" s="6" t="n"/>
      <c r="C114" s="6" t="n"/>
      <c r="D114" s="6" t="n"/>
      <c r="E114" s="7" t="n"/>
      <c r="F114" s="6" t="n"/>
      <c r="G114" s="6" t="n"/>
      <c r="H114" s="6">
        <f>IF(G114&lt;&gt;"","Paid",IF(AND(F114&lt;&gt;"",F114&lt;TODAY()),"Overdue",IF(F114&lt;&gt;"","Upcoming","")))</f>
        <v/>
      </c>
      <c r="I114" s="6">
        <f>IF(AND(G114="",F114&lt;&gt;"",F114&lt;TODAY()),TODAY()-F114,"")</f>
        <v/>
      </c>
    </row>
    <row r="115">
      <c r="A115" s="6" t="n"/>
      <c r="B115" s="6" t="n"/>
      <c r="C115" s="6" t="n"/>
      <c r="D115" s="6" t="n"/>
      <c r="E115" s="7" t="n"/>
      <c r="F115" s="6" t="n"/>
      <c r="G115" s="6" t="n"/>
      <c r="H115" s="6">
        <f>IF(G115&lt;&gt;"","Paid",IF(AND(F115&lt;&gt;"",F115&lt;TODAY()),"Overdue",IF(F115&lt;&gt;"","Upcoming","")))</f>
        <v/>
      </c>
      <c r="I115" s="6">
        <f>IF(AND(G115="",F115&lt;&gt;"",F115&lt;TODAY()),TODAY()-F115,"")</f>
        <v/>
      </c>
    </row>
    <row r="116">
      <c r="A116" s="6" t="n"/>
      <c r="B116" s="6" t="n"/>
      <c r="C116" s="6" t="n"/>
      <c r="D116" s="6" t="n"/>
      <c r="E116" s="7" t="n"/>
      <c r="F116" s="6" t="n"/>
      <c r="G116" s="6" t="n"/>
      <c r="H116" s="6">
        <f>IF(G116&lt;&gt;"","Paid",IF(AND(F116&lt;&gt;"",F116&lt;TODAY()),"Overdue",IF(F116&lt;&gt;"","Upcoming","")))</f>
        <v/>
      </c>
      <c r="I116" s="6">
        <f>IF(AND(G116="",F116&lt;&gt;"",F116&lt;TODAY()),TODAY()-F116,"")</f>
        <v/>
      </c>
    </row>
    <row r="117">
      <c r="A117" s="6" t="n"/>
      <c r="B117" s="6" t="n"/>
      <c r="C117" s="6" t="n"/>
      <c r="D117" s="6" t="n"/>
      <c r="E117" s="7" t="n"/>
      <c r="F117" s="6" t="n"/>
      <c r="G117" s="6" t="n"/>
      <c r="H117" s="6">
        <f>IF(G117&lt;&gt;"","Paid",IF(AND(F117&lt;&gt;"",F117&lt;TODAY()),"Overdue",IF(F117&lt;&gt;"","Upcoming","")))</f>
        <v/>
      </c>
      <c r="I117" s="6">
        <f>IF(AND(G117="",F117&lt;&gt;"",F117&lt;TODAY()),TODAY()-F117,"")</f>
        <v/>
      </c>
    </row>
    <row r="118">
      <c r="A118" s="6" t="n"/>
      <c r="B118" s="6" t="n"/>
      <c r="C118" s="6" t="n"/>
      <c r="D118" s="6" t="n"/>
      <c r="E118" s="7" t="n"/>
      <c r="F118" s="6" t="n"/>
      <c r="G118" s="6" t="n"/>
      <c r="H118" s="6">
        <f>IF(G118&lt;&gt;"","Paid",IF(AND(F118&lt;&gt;"",F118&lt;TODAY()),"Overdue",IF(F118&lt;&gt;"","Upcoming","")))</f>
        <v/>
      </c>
      <c r="I118" s="6">
        <f>IF(AND(G118="",F118&lt;&gt;"",F118&lt;TODAY()),TODAY()-F118,"")</f>
        <v/>
      </c>
    </row>
    <row r="119">
      <c r="A119" s="6" t="n"/>
      <c r="B119" s="6" t="n"/>
      <c r="C119" s="6" t="n"/>
      <c r="D119" s="6" t="n"/>
      <c r="E119" s="7" t="n"/>
      <c r="F119" s="6" t="n"/>
      <c r="G119" s="6" t="n"/>
      <c r="H119" s="6">
        <f>IF(G119&lt;&gt;"","Paid",IF(AND(F119&lt;&gt;"",F119&lt;TODAY()),"Overdue",IF(F119&lt;&gt;"","Upcoming","")))</f>
        <v/>
      </c>
      <c r="I119" s="6">
        <f>IF(AND(G119="",F119&lt;&gt;"",F119&lt;TODAY()),TODAY()-F119,"")</f>
        <v/>
      </c>
    </row>
    <row r="120">
      <c r="A120" s="6" t="n"/>
      <c r="B120" s="6" t="n"/>
      <c r="C120" s="6" t="n"/>
      <c r="D120" s="6" t="n"/>
      <c r="E120" s="7" t="n"/>
      <c r="F120" s="6" t="n"/>
      <c r="G120" s="6" t="n"/>
      <c r="H120" s="6">
        <f>IF(G120&lt;&gt;"","Paid",IF(AND(F120&lt;&gt;"",F120&lt;TODAY()),"Overdue",IF(F120&lt;&gt;"","Upcoming","")))</f>
        <v/>
      </c>
      <c r="I120" s="6">
        <f>IF(AND(G120="",F120&lt;&gt;"",F120&lt;TODAY()),TODAY()-F120,"")</f>
        <v/>
      </c>
    </row>
    <row r="121">
      <c r="A121" s="6" t="n"/>
      <c r="B121" s="6" t="n"/>
      <c r="C121" s="6" t="n"/>
      <c r="D121" s="6" t="n"/>
      <c r="E121" s="7" t="n"/>
      <c r="F121" s="6" t="n"/>
      <c r="G121" s="6" t="n"/>
      <c r="H121" s="6">
        <f>IF(G121&lt;&gt;"","Paid",IF(AND(F121&lt;&gt;"",F121&lt;TODAY()),"Overdue",IF(F121&lt;&gt;"","Upcoming","")))</f>
        <v/>
      </c>
      <c r="I121" s="6">
        <f>IF(AND(G121="",F121&lt;&gt;"",F121&lt;TODAY()),TODAY()-F121,"")</f>
        <v/>
      </c>
    </row>
    <row r="122">
      <c r="A122" s="6" t="n"/>
      <c r="B122" s="6" t="n"/>
      <c r="C122" s="6" t="n"/>
      <c r="D122" s="6" t="n"/>
      <c r="E122" s="7" t="n"/>
      <c r="F122" s="6" t="n"/>
      <c r="G122" s="6" t="n"/>
      <c r="H122" s="6">
        <f>IF(G122&lt;&gt;"","Paid",IF(AND(F122&lt;&gt;"",F122&lt;TODAY()),"Overdue",IF(F122&lt;&gt;"","Upcoming","")))</f>
        <v/>
      </c>
      <c r="I122" s="6">
        <f>IF(AND(G122="",F122&lt;&gt;"",F122&lt;TODAY()),TODAY()-F122,"")</f>
        <v/>
      </c>
    </row>
    <row r="123">
      <c r="A123" s="6" t="n"/>
      <c r="B123" s="6" t="n"/>
      <c r="C123" s="6" t="n"/>
      <c r="D123" s="6" t="n"/>
      <c r="E123" s="7" t="n"/>
      <c r="F123" s="6" t="n"/>
      <c r="G123" s="6" t="n"/>
      <c r="H123" s="6">
        <f>IF(G123&lt;&gt;"","Paid",IF(AND(F123&lt;&gt;"",F123&lt;TODAY()),"Overdue",IF(F123&lt;&gt;"","Upcoming","")))</f>
        <v/>
      </c>
      <c r="I123" s="6">
        <f>IF(AND(G123="",F123&lt;&gt;"",F123&lt;TODAY()),TODAY()-F123,"")</f>
        <v/>
      </c>
    </row>
    <row r="124">
      <c r="A124" s="6" t="n"/>
      <c r="B124" s="6" t="n"/>
      <c r="C124" s="6" t="n"/>
      <c r="D124" s="6" t="n"/>
      <c r="E124" s="7" t="n"/>
      <c r="F124" s="6" t="n"/>
      <c r="G124" s="6" t="n"/>
      <c r="H124" s="6">
        <f>IF(G124&lt;&gt;"","Paid",IF(AND(F124&lt;&gt;"",F124&lt;TODAY()),"Overdue",IF(F124&lt;&gt;"","Upcoming","")))</f>
        <v/>
      </c>
      <c r="I124" s="6">
        <f>IF(AND(G124="",F124&lt;&gt;"",F124&lt;TODAY()),TODAY()-F124,"")</f>
        <v/>
      </c>
    </row>
    <row r="125">
      <c r="A125" s="6" t="n"/>
      <c r="B125" s="6" t="n"/>
      <c r="C125" s="6" t="n"/>
      <c r="D125" s="6" t="n"/>
      <c r="E125" s="7" t="n"/>
      <c r="F125" s="6" t="n"/>
      <c r="G125" s="6" t="n"/>
      <c r="H125" s="6">
        <f>IF(G125&lt;&gt;"","Paid",IF(AND(F125&lt;&gt;"",F125&lt;TODAY()),"Overdue",IF(F125&lt;&gt;"","Upcoming","")))</f>
        <v/>
      </c>
      <c r="I125" s="6">
        <f>IF(AND(G125="",F125&lt;&gt;"",F125&lt;TODAY()),TODAY()-F125,"")</f>
        <v/>
      </c>
    </row>
    <row r="126">
      <c r="A126" s="6" t="n"/>
      <c r="B126" s="6" t="n"/>
      <c r="C126" s="6" t="n"/>
      <c r="D126" s="6" t="n"/>
      <c r="E126" s="7" t="n"/>
      <c r="F126" s="6" t="n"/>
      <c r="G126" s="6" t="n"/>
      <c r="H126" s="6">
        <f>IF(G126&lt;&gt;"","Paid",IF(AND(F126&lt;&gt;"",F126&lt;TODAY()),"Overdue",IF(F126&lt;&gt;"","Upcoming","")))</f>
        <v/>
      </c>
      <c r="I126" s="6">
        <f>IF(AND(G126="",F126&lt;&gt;"",F126&lt;TODAY()),TODAY()-F126,"")</f>
        <v/>
      </c>
    </row>
    <row r="127">
      <c r="A127" s="6" t="n"/>
      <c r="B127" s="6" t="n"/>
      <c r="C127" s="6" t="n"/>
      <c r="D127" s="6" t="n"/>
      <c r="E127" s="7" t="n"/>
      <c r="F127" s="6" t="n"/>
      <c r="G127" s="6" t="n"/>
      <c r="H127" s="6">
        <f>IF(G127&lt;&gt;"","Paid",IF(AND(F127&lt;&gt;"",F127&lt;TODAY()),"Overdue",IF(F127&lt;&gt;"","Upcoming","")))</f>
        <v/>
      </c>
      <c r="I127" s="6">
        <f>IF(AND(G127="",F127&lt;&gt;"",F127&lt;TODAY()),TODAY()-F127,"")</f>
        <v/>
      </c>
    </row>
    <row r="128">
      <c r="A128" s="6" t="n"/>
      <c r="B128" s="6" t="n"/>
      <c r="C128" s="6" t="n"/>
      <c r="D128" s="6" t="n"/>
      <c r="E128" s="7" t="n"/>
      <c r="F128" s="6" t="n"/>
      <c r="G128" s="6" t="n"/>
      <c r="H128" s="6">
        <f>IF(G128&lt;&gt;"","Paid",IF(AND(F128&lt;&gt;"",F128&lt;TODAY()),"Overdue",IF(F128&lt;&gt;"","Upcoming","")))</f>
        <v/>
      </c>
      <c r="I128" s="6">
        <f>IF(AND(G128="",F128&lt;&gt;"",F128&lt;TODAY()),TODAY()-F128,"")</f>
        <v/>
      </c>
    </row>
    <row r="129">
      <c r="A129" s="6" t="n"/>
      <c r="B129" s="6" t="n"/>
      <c r="C129" s="6" t="n"/>
      <c r="D129" s="6" t="n"/>
      <c r="E129" s="7" t="n"/>
      <c r="F129" s="6" t="n"/>
      <c r="G129" s="6" t="n"/>
      <c r="H129" s="6">
        <f>IF(G129&lt;&gt;"","Paid",IF(AND(F129&lt;&gt;"",F129&lt;TODAY()),"Overdue",IF(F129&lt;&gt;"","Upcoming","")))</f>
        <v/>
      </c>
      <c r="I129" s="6">
        <f>IF(AND(G129="",F129&lt;&gt;"",F129&lt;TODAY()),TODAY()-F129,"")</f>
        <v/>
      </c>
    </row>
    <row r="130">
      <c r="A130" s="6" t="n"/>
      <c r="B130" s="6" t="n"/>
      <c r="C130" s="6" t="n"/>
      <c r="D130" s="6" t="n"/>
      <c r="E130" s="7" t="n"/>
      <c r="F130" s="6" t="n"/>
      <c r="G130" s="6" t="n"/>
      <c r="H130" s="6">
        <f>IF(G130&lt;&gt;"","Paid",IF(AND(F130&lt;&gt;"",F130&lt;TODAY()),"Overdue",IF(F130&lt;&gt;"","Upcoming","")))</f>
        <v/>
      </c>
      <c r="I130" s="6">
        <f>IF(AND(G130="",F130&lt;&gt;"",F130&lt;TODAY()),TODAY()-F130,"")</f>
        <v/>
      </c>
    </row>
    <row r="131">
      <c r="A131" s="6" t="n"/>
      <c r="B131" s="6" t="n"/>
      <c r="C131" s="6" t="n"/>
      <c r="D131" s="6" t="n"/>
      <c r="E131" s="7" t="n"/>
      <c r="F131" s="6" t="n"/>
      <c r="G131" s="6" t="n"/>
      <c r="H131" s="6">
        <f>IF(G131&lt;&gt;"","Paid",IF(AND(F131&lt;&gt;"",F131&lt;TODAY()),"Overdue",IF(F131&lt;&gt;"","Upcoming","")))</f>
        <v/>
      </c>
      <c r="I131" s="6">
        <f>IF(AND(G131="",F131&lt;&gt;"",F131&lt;TODAY()),TODAY()-F131,"")</f>
        <v/>
      </c>
    </row>
    <row r="132">
      <c r="A132" s="6" t="n"/>
      <c r="B132" s="6" t="n"/>
      <c r="C132" s="6" t="n"/>
      <c r="D132" s="6" t="n"/>
      <c r="E132" s="7" t="n"/>
      <c r="F132" s="6" t="n"/>
      <c r="G132" s="6" t="n"/>
      <c r="H132" s="6">
        <f>IF(G132&lt;&gt;"","Paid",IF(AND(F132&lt;&gt;"",F132&lt;TODAY()),"Overdue",IF(F132&lt;&gt;"","Upcoming","")))</f>
        <v/>
      </c>
      <c r="I132" s="6">
        <f>IF(AND(G132="",F132&lt;&gt;"",F132&lt;TODAY()),TODAY()-F132,"")</f>
        <v/>
      </c>
    </row>
    <row r="133">
      <c r="A133" s="6" t="n"/>
      <c r="B133" s="6" t="n"/>
      <c r="C133" s="6" t="n"/>
      <c r="D133" s="6" t="n"/>
      <c r="E133" s="7" t="n"/>
      <c r="F133" s="6" t="n"/>
      <c r="G133" s="6" t="n"/>
      <c r="H133" s="6">
        <f>IF(G133&lt;&gt;"","Paid",IF(AND(F133&lt;&gt;"",F133&lt;TODAY()),"Overdue",IF(F133&lt;&gt;"","Upcoming","")))</f>
        <v/>
      </c>
      <c r="I133" s="6">
        <f>IF(AND(G133="",F133&lt;&gt;"",F133&lt;TODAY()),TODAY()-F133,"")</f>
        <v/>
      </c>
    </row>
    <row r="134">
      <c r="A134" s="6" t="n"/>
      <c r="B134" s="6" t="n"/>
      <c r="C134" s="6" t="n"/>
      <c r="D134" s="6" t="n"/>
      <c r="E134" s="7" t="n"/>
      <c r="F134" s="6" t="n"/>
      <c r="G134" s="6" t="n"/>
      <c r="H134" s="6">
        <f>IF(G134&lt;&gt;"","Paid",IF(AND(F134&lt;&gt;"",F134&lt;TODAY()),"Overdue",IF(F134&lt;&gt;"","Upcoming","")))</f>
        <v/>
      </c>
      <c r="I134" s="6">
        <f>IF(AND(G134="",F134&lt;&gt;"",F134&lt;TODAY()),TODAY()-F134,"")</f>
        <v/>
      </c>
    </row>
    <row r="135">
      <c r="A135" s="6" t="n"/>
      <c r="B135" s="6" t="n"/>
      <c r="C135" s="6" t="n"/>
      <c r="D135" s="6" t="n"/>
      <c r="E135" s="7" t="n"/>
      <c r="F135" s="6" t="n"/>
      <c r="G135" s="6" t="n"/>
      <c r="H135" s="6">
        <f>IF(G135&lt;&gt;"","Paid",IF(AND(F135&lt;&gt;"",F135&lt;TODAY()),"Overdue",IF(F135&lt;&gt;"","Upcoming","")))</f>
        <v/>
      </c>
      <c r="I135" s="6">
        <f>IF(AND(G135="",F135&lt;&gt;"",F135&lt;TODAY()),TODAY()-F135,"")</f>
        <v/>
      </c>
    </row>
    <row r="136">
      <c r="A136" s="6" t="n"/>
      <c r="B136" s="6" t="n"/>
      <c r="C136" s="6" t="n"/>
      <c r="D136" s="6" t="n"/>
      <c r="E136" s="7" t="n"/>
      <c r="F136" s="6" t="n"/>
      <c r="G136" s="6" t="n"/>
      <c r="H136" s="6">
        <f>IF(G136&lt;&gt;"","Paid",IF(AND(F136&lt;&gt;"",F136&lt;TODAY()),"Overdue",IF(F136&lt;&gt;"","Upcoming","")))</f>
        <v/>
      </c>
      <c r="I136" s="6">
        <f>IF(AND(G136="",F136&lt;&gt;"",F136&lt;TODAY()),TODAY()-F136,"")</f>
        <v/>
      </c>
    </row>
    <row r="137">
      <c r="A137" s="6" t="n"/>
      <c r="B137" s="6" t="n"/>
      <c r="C137" s="6" t="n"/>
      <c r="D137" s="6" t="n"/>
      <c r="E137" s="7" t="n"/>
      <c r="F137" s="6" t="n"/>
      <c r="G137" s="6" t="n"/>
      <c r="H137" s="6">
        <f>IF(G137&lt;&gt;"","Paid",IF(AND(F137&lt;&gt;"",F137&lt;TODAY()),"Overdue",IF(F137&lt;&gt;"","Upcoming","")))</f>
        <v/>
      </c>
      <c r="I137" s="6">
        <f>IF(AND(G137="",F137&lt;&gt;"",F137&lt;TODAY()),TODAY()-F137,"")</f>
        <v/>
      </c>
    </row>
    <row r="138">
      <c r="A138" s="6" t="n"/>
      <c r="B138" s="6" t="n"/>
      <c r="C138" s="6" t="n"/>
      <c r="D138" s="6" t="n"/>
      <c r="E138" s="7" t="n"/>
      <c r="F138" s="6" t="n"/>
      <c r="G138" s="6" t="n"/>
      <c r="H138" s="6">
        <f>IF(G138&lt;&gt;"","Paid",IF(AND(F138&lt;&gt;"",F138&lt;TODAY()),"Overdue",IF(F138&lt;&gt;"","Upcoming","")))</f>
        <v/>
      </c>
      <c r="I138" s="6">
        <f>IF(AND(G138="",F138&lt;&gt;"",F138&lt;TODAY()),TODAY()-F138,"")</f>
        <v/>
      </c>
    </row>
    <row r="139">
      <c r="A139" s="6" t="n"/>
      <c r="B139" s="6" t="n"/>
      <c r="C139" s="6" t="n"/>
      <c r="D139" s="6" t="n"/>
      <c r="E139" s="7" t="n"/>
      <c r="F139" s="6" t="n"/>
      <c r="G139" s="6" t="n"/>
      <c r="H139" s="6">
        <f>IF(G139&lt;&gt;"","Paid",IF(AND(F139&lt;&gt;"",F139&lt;TODAY()),"Overdue",IF(F139&lt;&gt;"","Upcoming","")))</f>
        <v/>
      </c>
      <c r="I139" s="6">
        <f>IF(AND(G139="",F139&lt;&gt;"",F139&lt;TODAY()),TODAY()-F139,"")</f>
        <v/>
      </c>
    </row>
    <row r="140">
      <c r="A140" s="6" t="n"/>
      <c r="B140" s="6" t="n"/>
      <c r="C140" s="6" t="n"/>
      <c r="D140" s="6" t="n"/>
      <c r="E140" s="7" t="n"/>
      <c r="F140" s="6" t="n"/>
      <c r="G140" s="6" t="n"/>
      <c r="H140" s="6">
        <f>IF(G140&lt;&gt;"","Paid",IF(AND(F140&lt;&gt;"",F140&lt;TODAY()),"Overdue",IF(F140&lt;&gt;"","Upcoming","")))</f>
        <v/>
      </c>
      <c r="I140" s="6">
        <f>IF(AND(G140="",F140&lt;&gt;"",F140&lt;TODAY()),TODAY()-F140,"")</f>
        <v/>
      </c>
    </row>
    <row r="141">
      <c r="A141" s="6" t="n"/>
      <c r="B141" s="6" t="n"/>
      <c r="C141" s="6" t="n"/>
      <c r="D141" s="6" t="n"/>
      <c r="E141" s="7" t="n"/>
      <c r="F141" s="6" t="n"/>
      <c r="G141" s="6" t="n"/>
      <c r="H141" s="6">
        <f>IF(G141&lt;&gt;"","Paid",IF(AND(F141&lt;&gt;"",F141&lt;TODAY()),"Overdue",IF(F141&lt;&gt;"","Upcoming","")))</f>
        <v/>
      </c>
      <c r="I141" s="6">
        <f>IF(AND(G141="",F141&lt;&gt;"",F141&lt;TODAY()),TODAY()-F141,"")</f>
        <v/>
      </c>
    </row>
    <row r="142">
      <c r="A142" s="6" t="n"/>
      <c r="B142" s="6" t="n"/>
      <c r="C142" s="6" t="n"/>
      <c r="D142" s="6" t="n"/>
      <c r="E142" s="7" t="n"/>
      <c r="F142" s="6" t="n"/>
      <c r="G142" s="6" t="n"/>
      <c r="H142" s="6">
        <f>IF(G142&lt;&gt;"","Paid",IF(AND(F142&lt;&gt;"",F142&lt;TODAY()),"Overdue",IF(F142&lt;&gt;"","Upcoming","")))</f>
        <v/>
      </c>
      <c r="I142" s="6">
        <f>IF(AND(G142="",F142&lt;&gt;"",F142&lt;TODAY()),TODAY()-F142,"")</f>
        <v/>
      </c>
    </row>
    <row r="143">
      <c r="A143" s="6" t="n"/>
      <c r="B143" s="6" t="n"/>
      <c r="C143" s="6" t="n"/>
      <c r="D143" s="6" t="n"/>
      <c r="E143" s="7" t="n"/>
      <c r="F143" s="6" t="n"/>
      <c r="G143" s="6" t="n"/>
      <c r="H143" s="6">
        <f>IF(G143&lt;&gt;"","Paid",IF(AND(F143&lt;&gt;"",F143&lt;TODAY()),"Overdue",IF(F143&lt;&gt;"","Upcoming","")))</f>
        <v/>
      </c>
      <c r="I143" s="6">
        <f>IF(AND(G143="",F143&lt;&gt;"",F143&lt;TODAY()),TODAY()-F143,"")</f>
        <v/>
      </c>
    </row>
    <row r="144">
      <c r="A144" s="6" t="n"/>
      <c r="B144" s="6" t="n"/>
      <c r="C144" s="6" t="n"/>
      <c r="D144" s="6" t="n"/>
      <c r="E144" s="7" t="n"/>
      <c r="F144" s="6" t="n"/>
      <c r="G144" s="6" t="n"/>
      <c r="H144" s="6">
        <f>IF(G144&lt;&gt;"","Paid",IF(AND(F144&lt;&gt;"",F144&lt;TODAY()),"Overdue",IF(F144&lt;&gt;"","Upcoming","")))</f>
        <v/>
      </c>
      <c r="I144" s="6">
        <f>IF(AND(G144="",F144&lt;&gt;"",F144&lt;TODAY()),TODAY()-F144,"")</f>
        <v/>
      </c>
    </row>
    <row r="145">
      <c r="A145" s="6" t="n"/>
      <c r="B145" s="6" t="n"/>
      <c r="C145" s="6" t="n"/>
      <c r="D145" s="6" t="n"/>
      <c r="E145" s="7" t="n"/>
      <c r="F145" s="6" t="n"/>
      <c r="G145" s="6" t="n"/>
      <c r="H145" s="6">
        <f>IF(G145&lt;&gt;"","Paid",IF(AND(F145&lt;&gt;"",F145&lt;TODAY()),"Overdue",IF(F145&lt;&gt;"","Upcoming","")))</f>
        <v/>
      </c>
      <c r="I145" s="6">
        <f>IF(AND(G145="",F145&lt;&gt;"",F145&lt;TODAY()),TODAY()-F145,"")</f>
        <v/>
      </c>
    </row>
    <row r="146">
      <c r="A146" s="6" t="n"/>
      <c r="B146" s="6" t="n"/>
      <c r="C146" s="6" t="n"/>
      <c r="D146" s="6" t="n"/>
      <c r="E146" s="7" t="n"/>
      <c r="F146" s="6" t="n"/>
      <c r="G146" s="6" t="n"/>
      <c r="H146" s="6">
        <f>IF(G146&lt;&gt;"","Paid",IF(AND(F146&lt;&gt;"",F146&lt;TODAY()),"Overdue",IF(F146&lt;&gt;"","Upcoming","")))</f>
        <v/>
      </c>
      <c r="I146" s="6">
        <f>IF(AND(G146="",F146&lt;&gt;"",F146&lt;TODAY()),TODAY()-F146,"")</f>
        <v/>
      </c>
    </row>
    <row r="147">
      <c r="A147" s="6" t="n"/>
      <c r="B147" s="6" t="n"/>
      <c r="C147" s="6" t="n"/>
      <c r="D147" s="6" t="n"/>
      <c r="E147" s="7" t="n"/>
      <c r="F147" s="6" t="n"/>
      <c r="G147" s="6" t="n"/>
      <c r="H147" s="6">
        <f>IF(G147&lt;&gt;"","Paid",IF(AND(F147&lt;&gt;"",F147&lt;TODAY()),"Overdue",IF(F147&lt;&gt;"","Upcoming","")))</f>
        <v/>
      </c>
      <c r="I147" s="6">
        <f>IF(AND(G147="",F147&lt;&gt;"",F147&lt;TODAY()),TODAY()-F147,"")</f>
        <v/>
      </c>
    </row>
    <row r="148">
      <c r="A148" s="6" t="n"/>
      <c r="B148" s="6" t="n"/>
      <c r="C148" s="6" t="n"/>
      <c r="D148" s="6" t="n"/>
      <c r="E148" s="7" t="n"/>
      <c r="F148" s="6" t="n"/>
      <c r="G148" s="6" t="n"/>
      <c r="H148" s="6">
        <f>IF(G148&lt;&gt;"","Paid",IF(AND(F148&lt;&gt;"",F148&lt;TODAY()),"Overdue",IF(F148&lt;&gt;"","Upcoming","")))</f>
        <v/>
      </c>
      <c r="I148" s="6">
        <f>IF(AND(G148="",F148&lt;&gt;"",F148&lt;TODAY()),TODAY()-F148,"")</f>
        <v/>
      </c>
    </row>
    <row r="149">
      <c r="A149" s="6" t="n"/>
      <c r="B149" s="6" t="n"/>
      <c r="C149" s="6" t="n"/>
      <c r="D149" s="6" t="n"/>
      <c r="E149" s="7" t="n"/>
      <c r="F149" s="6" t="n"/>
      <c r="G149" s="6" t="n"/>
      <c r="H149" s="6">
        <f>IF(G149&lt;&gt;"","Paid",IF(AND(F149&lt;&gt;"",F149&lt;TODAY()),"Overdue",IF(F149&lt;&gt;"","Upcoming","")))</f>
        <v/>
      </c>
      <c r="I149" s="6">
        <f>IF(AND(G149="",F149&lt;&gt;"",F149&lt;TODAY()),TODAY()-F149,"")</f>
        <v/>
      </c>
    </row>
    <row r="150">
      <c r="A150" s="6" t="n"/>
      <c r="B150" s="6" t="n"/>
      <c r="C150" s="6" t="n"/>
      <c r="D150" s="6" t="n"/>
      <c r="E150" s="7" t="n"/>
      <c r="F150" s="6" t="n"/>
      <c r="G150" s="6" t="n"/>
      <c r="H150" s="6">
        <f>IF(G150&lt;&gt;"","Paid",IF(AND(F150&lt;&gt;"",F150&lt;TODAY()),"Overdue",IF(F150&lt;&gt;"","Upcoming","")))</f>
        <v/>
      </c>
      <c r="I150" s="6">
        <f>IF(AND(G150="",F150&lt;&gt;"",F150&lt;TODAY()),TODAY()-F150,"")</f>
        <v/>
      </c>
    </row>
    <row r="151">
      <c r="A151" s="6" t="n"/>
      <c r="B151" s="6" t="n"/>
      <c r="C151" s="6" t="n"/>
      <c r="D151" s="6" t="n"/>
      <c r="E151" s="7" t="n"/>
      <c r="F151" s="6" t="n"/>
      <c r="G151" s="6" t="n"/>
      <c r="H151" s="6">
        <f>IF(G151&lt;&gt;"","Paid",IF(AND(F151&lt;&gt;"",F151&lt;TODAY()),"Overdue",IF(F151&lt;&gt;"","Upcoming","")))</f>
        <v/>
      </c>
      <c r="I151" s="6">
        <f>IF(AND(G151="",F151&lt;&gt;"",F151&lt;TODAY()),TODAY()-F151,"")</f>
        <v/>
      </c>
    </row>
    <row r="152">
      <c r="A152" s="6" t="n"/>
      <c r="B152" s="6" t="n"/>
      <c r="C152" s="6" t="n"/>
      <c r="D152" s="6" t="n"/>
      <c r="E152" s="7" t="n"/>
      <c r="F152" s="6" t="n"/>
      <c r="G152" s="6" t="n"/>
      <c r="H152" s="6">
        <f>IF(G152&lt;&gt;"","Paid",IF(AND(F152&lt;&gt;"",F152&lt;TODAY()),"Overdue",IF(F152&lt;&gt;"","Upcoming","")))</f>
        <v/>
      </c>
      <c r="I152" s="6">
        <f>IF(AND(G152="",F152&lt;&gt;"",F152&lt;TODAY()),TODAY()-F152,"")</f>
        <v/>
      </c>
    </row>
    <row r="153">
      <c r="A153" s="6" t="n"/>
      <c r="B153" s="6" t="n"/>
      <c r="C153" s="6" t="n"/>
      <c r="D153" s="6" t="n"/>
      <c r="E153" s="7" t="n"/>
      <c r="F153" s="6" t="n"/>
      <c r="G153" s="6" t="n"/>
      <c r="H153" s="6">
        <f>IF(G153&lt;&gt;"","Paid",IF(AND(F153&lt;&gt;"",F153&lt;TODAY()),"Overdue",IF(F153&lt;&gt;"","Upcoming","")))</f>
        <v/>
      </c>
      <c r="I153" s="6">
        <f>IF(AND(G153="",F153&lt;&gt;"",F153&lt;TODAY()),TODAY()-F153,"")</f>
        <v/>
      </c>
    </row>
    <row r="154">
      <c r="A154" s="6" t="n"/>
      <c r="B154" s="6" t="n"/>
      <c r="C154" s="6" t="n"/>
      <c r="D154" s="6" t="n"/>
      <c r="E154" s="7" t="n"/>
      <c r="F154" s="6" t="n"/>
      <c r="G154" s="6" t="n"/>
      <c r="H154" s="6">
        <f>IF(G154&lt;&gt;"","Paid",IF(AND(F154&lt;&gt;"",F154&lt;TODAY()),"Overdue",IF(F154&lt;&gt;"","Upcoming","")))</f>
        <v/>
      </c>
      <c r="I154" s="6">
        <f>IF(AND(G154="",F154&lt;&gt;"",F154&lt;TODAY()),TODAY()-F154,"")</f>
        <v/>
      </c>
    </row>
    <row r="155">
      <c r="A155" s="6" t="n"/>
      <c r="B155" s="6" t="n"/>
      <c r="C155" s="6" t="n"/>
      <c r="D155" s="6" t="n"/>
      <c r="E155" s="7" t="n"/>
      <c r="F155" s="6" t="n"/>
      <c r="G155" s="6" t="n"/>
      <c r="H155" s="6">
        <f>IF(G155&lt;&gt;"","Paid",IF(AND(F155&lt;&gt;"",F155&lt;TODAY()),"Overdue",IF(F155&lt;&gt;"","Upcoming","")))</f>
        <v/>
      </c>
      <c r="I155" s="6">
        <f>IF(AND(G155="",F155&lt;&gt;"",F155&lt;TODAY()),TODAY()-F155,"")</f>
        <v/>
      </c>
    </row>
    <row r="156">
      <c r="A156" s="6" t="n"/>
      <c r="B156" s="6" t="n"/>
      <c r="C156" s="6" t="n"/>
      <c r="D156" s="6" t="n"/>
      <c r="E156" s="7" t="n"/>
      <c r="F156" s="6" t="n"/>
      <c r="G156" s="6" t="n"/>
      <c r="H156" s="6">
        <f>IF(G156&lt;&gt;"","Paid",IF(AND(F156&lt;&gt;"",F156&lt;TODAY()),"Overdue",IF(F156&lt;&gt;"","Upcoming","")))</f>
        <v/>
      </c>
      <c r="I156" s="6">
        <f>IF(AND(G156="",F156&lt;&gt;"",F156&lt;TODAY()),TODAY()-F156,"")</f>
        <v/>
      </c>
    </row>
    <row r="157">
      <c r="A157" s="6" t="n"/>
      <c r="B157" s="6" t="n"/>
      <c r="C157" s="6" t="n"/>
      <c r="D157" s="6" t="n"/>
      <c r="E157" s="7" t="n"/>
      <c r="F157" s="6" t="n"/>
      <c r="G157" s="6" t="n"/>
      <c r="H157" s="6">
        <f>IF(G157&lt;&gt;"","Paid",IF(AND(F157&lt;&gt;"",F157&lt;TODAY()),"Overdue",IF(F157&lt;&gt;"","Upcoming","")))</f>
        <v/>
      </c>
      <c r="I157" s="6">
        <f>IF(AND(G157="",F157&lt;&gt;"",F157&lt;TODAY()),TODAY()-F157,"")</f>
        <v/>
      </c>
    </row>
    <row r="158">
      <c r="A158" s="6" t="n"/>
      <c r="B158" s="6" t="n"/>
      <c r="C158" s="6" t="n"/>
      <c r="D158" s="6" t="n"/>
      <c r="E158" s="7" t="n"/>
      <c r="F158" s="6" t="n"/>
      <c r="G158" s="6" t="n"/>
      <c r="H158" s="6">
        <f>IF(G158&lt;&gt;"","Paid",IF(AND(F158&lt;&gt;"",F158&lt;TODAY()),"Overdue",IF(F158&lt;&gt;"","Upcoming","")))</f>
        <v/>
      </c>
      <c r="I158" s="6">
        <f>IF(AND(G158="",F158&lt;&gt;"",F158&lt;TODAY()),TODAY()-F158,"")</f>
        <v/>
      </c>
    </row>
    <row r="159">
      <c r="A159" s="6" t="n"/>
      <c r="B159" s="6" t="n"/>
      <c r="C159" s="6" t="n"/>
      <c r="D159" s="6" t="n"/>
      <c r="E159" s="7" t="n"/>
      <c r="F159" s="6" t="n"/>
      <c r="G159" s="6" t="n"/>
      <c r="H159" s="6">
        <f>IF(G159&lt;&gt;"","Paid",IF(AND(F159&lt;&gt;"",F159&lt;TODAY()),"Overdue",IF(F159&lt;&gt;"","Upcoming","")))</f>
        <v/>
      </c>
      <c r="I159" s="6">
        <f>IF(AND(G159="",F159&lt;&gt;"",F159&lt;TODAY()),TODAY()-F159,"")</f>
        <v/>
      </c>
    </row>
    <row r="160">
      <c r="A160" s="6" t="n"/>
      <c r="B160" s="6" t="n"/>
      <c r="C160" s="6" t="n"/>
      <c r="D160" s="6" t="n"/>
      <c r="E160" s="7" t="n"/>
      <c r="F160" s="6" t="n"/>
      <c r="G160" s="6" t="n"/>
      <c r="H160" s="6">
        <f>IF(G160&lt;&gt;"","Paid",IF(AND(F160&lt;&gt;"",F160&lt;TODAY()),"Overdue",IF(F160&lt;&gt;"","Upcoming","")))</f>
        <v/>
      </c>
      <c r="I160" s="6">
        <f>IF(AND(G160="",F160&lt;&gt;"",F160&lt;TODAY()),TODAY()-F160,"")</f>
        <v/>
      </c>
    </row>
    <row r="161">
      <c r="A161" s="6" t="n"/>
      <c r="B161" s="6" t="n"/>
      <c r="C161" s="6" t="n"/>
      <c r="D161" s="6" t="n"/>
      <c r="E161" s="7" t="n"/>
      <c r="F161" s="6" t="n"/>
      <c r="G161" s="6" t="n"/>
      <c r="H161" s="6">
        <f>IF(G161&lt;&gt;"","Paid",IF(AND(F161&lt;&gt;"",F161&lt;TODAY()),"Overdue",IF(F161&lt;&gt;"","Upcoming","")))</f>
        <v/>
      </c>
      <c r="I161" s="6">
        <f>IF(AND(G161="",F161&lt;&gt;"",F161&lt;TODAY()),TODAY()-F161,"")</f>
        <v/>
      </c>
    </row>
    <row r="162">
      <c r="A162" s="6" t="n"/>
      <c r="B162" s="6" t="n"/>
      <c r="C162" s="6" t="n"/>
      <c r="D162" s="6" t="n"/>
      <c r="E162" s="7" t="n"/>
      <c r="F162" s="6" t="n"/>
      <c r="G162" s="6" t="n"/>
      <c r="H162" s="6">
        <f>IF(G162&lt;&gt;"","Paid",IF(AND(F162&lt;&gt;"",F162&lt;TODAY()),"Overdue",IF(F162&lt;&gt;"","Upcoming","")))</f>
        <v/>
      </c>
      <c r="I162" s="6">
        <f>IF(AND(G162="",F162&lt;&gt;"",F162&lt;TODAY()),TODAY()-F162,"")</f>
        <v/>
      </c>
    </row>
    <row r="163">
      <c r="A163" s="6" t="n"/>
      <c r="B163" s="6" t="n"/>
      <c r="C163" s="6" t="n"/>
      <c r="D163" s="6" t="n"/>
      <c r="E163" s="7" t="n"/>
      <c r="F163" s="6" t="n"/>
      <c r="G163" s="6" t="n"/>
      <c r="H163" s="6">
        <f>IF(G163&lt;&gt;"","Paid",IF(AND(F163&lt;&gt;"",F163&lt;TODAY()),"Overdue",IF(F163&lt;&gt;"","Upcoming","")))</f>
        <v/>
      </c>
      <c r="I163" s="6">
        <f>IF(AND(G163="",F163&lt;&gt;"",F163&lt;TODAY()),TODAY()-F163,"")</f>
        <v/>
      </c>
    </row>
    <row r="164">
      <c r="A164" s="6" t="n"/>
      <c r="B164" s="6" t="n"/>
      <c r="C164" s="6" t="n"/>
      <c r="D164" s="6" t="n"/>
      <c r="E164" s="7" t="n"/>
      <c r="F164" s="6" t="n"/>
      <c r="G164" s="6" t="n"/>
      <c r="H164" s="6">
        <f>IF(G164&lt;&gt;"","Paid",IF(AND(F164&lt;&gt;"",F164&lt;TODAY()),"Overdue",IF(F164&lt;&gt;"","Upcoming","")))</f>
        <v/>
      </c>
      <c r="I164" s="6">
        <f>IF(AND(G164="",F164&lt;&gt;"",F164&lt;TODAY()),TODAY()-F164,"")</f>
        <v/>
      </c>
    </row>
    <row r="165">
      <c r="A165" s="6" t="n"/>
      <c r="B165" s="6" t="n"/>
      <c r="C165" s="6" t="n"/>
      <c r="D165" s="6" t="n"/>
      <c r="E165" s="7" t="n"/>
      <c r="F165" s="6" t="n"/>
      <c r="G165" s="6" t="n"/>
      <c r="H165" s="6">
        <f>IF(G165&lt;&gt;"","Paid",IF(AND(F165&lt;&gt;"",F165&lt;TODAY()),"Overdue",IF(F165&lt;&gt;"","Upcoming","")))</f>
        <v/>
      </c>
      <c r="I165" s="6">
        <f>IF(AND(G165="",F165&lt;&gt;"",F165&lt;TODAY()),TODAY()-F165,"")</f>
        <v/>
      </c>
    </row>
    <row r="166">
      <c r="A166" s="6" t="n"/>
      <c r="B166" s="6" t="n"/>
      <c r="C166" s="6" t="n"/>
      <c r="D166" s="6" t="n"/>
      <c r="E166" s="7" t="n"/>
      <c r="F166" s="6" t="n"/>
      <c r="G166" s="6" t="n"/>
      <c r="H166" s="6">
        <f>IF(G166&lt;&gt;"","Paid",IF(AND(F166&lt;&gt;"",F166&lt;TODAY()),"Overdue",IF(F166&lt;&gt;"","Upcoming","")))</f>
        <v/>
      </c>
      <c r="I166" s="6">
        <f>IF(AND(G166="",F166&lt;&gt;"",F166&lt;TODAY()),TODAY()-F166,"")</f>
        <v/>
      </c>
    </row>
    <row r="167">
      <c r="A167" s="6" t="n"/>
      <c r="B167" s="6" t="n"/>
      <c r="C167" s="6" t="n"/>
      <c r="D167" s="6" t="n"/>
      <c r="E167" s="7" t="n"/>
      <c r="F167" s="6" t="n"/>
      <c r="G167" s="6" t="n"/>
      <c r="H167" s="6">
        <f>IF(G167&lt;&gt;"","Paid",IF(AND(F167&lt;&gt;"",F167&lt;TODAY()),"Overdue",IF(F167&lt;&gt;"","Upcoming","")))</f>
        <v/>
      </c>
      <c r="I167" s="6">
        <f>IF(AND(G167="",F167&lt;&gt;"",F167&lt;TODAY()),TODAY()-F167,"")</f>
        <v/>
      </c>
    </row>
    <row r="168">
      <c r="A168" s="6" t="n"/>
      <c r="B168" s="6" t="n"/>
      <c r="C168" s="6" t="n"/>
      <c r="D168" s="6" t="n"/>
      <c r="E168" s="7" t="n"/>
      <c r="F168" s="6" t="n"/>
      <c r="G168" s="6" t="n"/>
      <c r="H168" s="6">
        <f>IF(G168&lt;&gt;"","Paid",IF(AND(F168&lt;&gt;"",F168&lt;TODAY()),"Overdue",IF(F168&lt;&gt;"","Upcoming","")))</f>
        <v/>
      </c>
      <c r="I168" s="6">
        <f>IF(AND(G168="",F168&lt;&gt;"",F168&lt;TODAY()),TODAY()-F168,"")</f>
        <v/>
      </c>
    </row>
    <row r="169">
      <c r="A169" s="6" t="n"/>
      <c r="B169" s="6" t="n"/>
      <c r="C169" s="6" t="n"/>
      <c r="D169" s="6" t="n"/>
      <c r="E169" s="7" t="n"/>
      <c r="F169" s="6" t="n"/>
      <c r="G169" s="6" t="n"/>
      <c r="H169" s="6">
        <f>IF(G169&lt;&gt;"","Paid",IF(AND(F169&lt;&gt;"",F169&lt;TODAY()),"Overdue",IF(F169&lt;&gt;"","Upcoming","")))</f>
        <v/>
      </c>
      <c r="I169" s="6">
        <f>IF(AND(G169="",F169&lt;&gt;"",F169&lt;TODAY()),TODAY()-F169,"")</f>
        <v/>
      </c>
    </row>
    <row r="170">
      <c r="A170" s="6" t="n"/>
      <c r="B170" s="6" t="n"/>
      <c r="C170" s="6" t="n"/>
      <c r="D170" s="6" t="n"/>
      <c r="E170" s="7" t="n"/>
      <c r="F170" s="6" t="n"/>
      <c r="G170" s="6" t="n"/>
      <c r="H170" s="6">
        <f>IF(G170&lt;&gt;"","Paid",IF(AND(F170&lt;&gt;"",F170&lt;TODAY()),"Overdue",IF(F170&lt;&gt;"","Upcoming","")))</f>
        <v/>
      </c>
      <c r="I170" s="6">
        <f>IF(AND(G170="",F170&lt;&gt;"",F170&lt;TODAY()),TODAY()-F170,"")</f>
        <v/>
      </c>
    </row>
    <row r="171">
      <c r="A171" s="6" t="n"/>
      <c r="B171" s="6" t="n"/>
      <c r="C171" s="6" t="n"/>
      <c r="D171" s="6" t="n"/>
      <c r="E171" s="7" t="n"/>
      <c r="F171" s="6" t="n"/>
      <c r="G171" s="6" t="n"/>
      <c r="H171" s="6">
        <f>IF(G171&lt;&gt;"","Paid",IF(AND(F171&lt;&gt;"",F171&lt;TODAY()),"Overdue",IF(F171&lt;&gt;"","Upcoming","")))</f>
        <v/>
      </c>
      <c r="I171" s="6">
        <f>IF(AND(G171="",F171&lt;&gt;"",F171&lt;TODAY()),TODAY()-F171,"")</f>
        <v/>
      </c>
    </row>
    <row r="172">
      <c r="A172" s="6" t="n"/>
      <c r="B172" s="6" t="n"/>
      <c r="C172" s="6" t="n"/>
      <c r="D172" s="6" t="n"/>
      <c r="E172" s="7" t="n"/>
      <c r="F172" s="6" t="n"/>
      <c r="G172" s="6" t="n"/>
      <c r="H172" s="6">
        <f>IF(G172&lt;&gt;"","Paid",IF(AND(F172&lt;&gt;"",F172&lt;TODAY()),"Overdue",IF(F172&lt;&gt;"","Upcoming","")))</f>
        <v/>
      </c>
      <c r="I172" s="6">
        <f>IF(AND(G172="",F172&lt;&gt;"",F172&lt;TODAY()),TODAY()-F172,"")</f>
        <v/>
      </c>
    </row>
    <row r="173">
      <c r="A173" s="6" t="n"/>
      <c r="B173" s="6" t="n"/>
      <c r="C173" s="6" t="n"/>
      <c r="D173" s="6" t="n"/>
      <c r="E173" s="7" t="n"/>
      <c r="F173" s="6" t="n"/>
      <c r="G173" s="6" t="n"/>
      <c r="H173" s="6">
        <f>IF(G173&lt;&gt;"","Paid",IF(AND(F173&lt;&gt;"",F173&lt;TODAY()),"Overdue",IF(F173&lt;&gt;"","Upcoming","")))</f>
        <v/>
      </c>
      <c r="I173" s="6">
        <f>IF(AND(G173="",F173&lt;&gt;"",F173&lt;TODAY()),TODAY()-F173,"")</f>
        <v/>
      </c>
    </row>
    <row r="174">
      <c r="A174" s="6" t="n"/>
      <c r="B174" s="6" t="n"/>
      <c r="C174" s="6" t="n"/>
      <c r="D174" s="6" t="n"/>
      <c r="E174" s="7" t="n"/>
      <c r="F174" s="6" t="n"/>
      <c r="G174" s="6" t="n"/>
      <c r="H174" s="6">
        <f>IF(G174&lt;&gt;"","Paid",IF(AND(F174&lt;&gt;"",F174&lt;TODAY()),"Overdue",IF(F174&lt;&gt;"","Upcoming","")))</f>
        <v/>
      </c>
      <c r="I174" s="6">
        <f>IF(AND(G174="",F174&lt;&gt;"",F174&lt;TODAY()),TODAY()-F174,"")</f>
        <v/>
      </c>
    </row>
    <row r="175">
      <c r="A175" s="6" t="n"/>
      <c r="B175" s="6" t="n"/>
      <c r="C175" s="6" t="n"/>
      <c r="D175" s="6" t="n"/>
      <c r="E175" s="7" t="n"/>
      <c r="F175" s="6" t="n"/>
      <c r="G175" s="6" t="n"/>
      <c r="H175" s="6">
        <f>IF(G175&lt;&gt;"","Paid",IF(AND(F175&lt;&gt;"",F175&lt;TODAY()),"Overdue",IF(F175&lt;&gt;"","Upcoming","")))</f>
        <v/>
      </c>
      <c r="I175" s="6">
        <f>IF(AND(G175="",F175&lt;&gt;"",F175&lt;TODAY()),TODAY()-F175,"")</f>
        <v/>
      </c>
    </row>
    <row r="176">
      <c r="A176" s="6" t="n"/>
      <c r="B176" s="6" t="n"/>
      <c r="C176" s="6" t="n"/>
      <c r="D176" s="6" t="n"/>
      <c r="E176" s="7" t="n"/>
      <c r="F176" s="6" t="n"/>
      <c r="G176" s="6" t="n"/>
      <c r="H176" s="6">
        <f>IF(G176&lt;&gt;"","Paid",IF(AND(F176&lt;&gt;"",F176&lt;TODAY()),"Overdue",IF(F176&lt;&gt;"","Upcoming","")))</f>
        <v/>
      </c>
      <c r="I176" s="6">
        <f>IF(AND(G176="",F176&lt;&gt;"",F176&lt;TODAY()),TODAY()-F176,"")</f>
        <v/>
      </c>
    </row>
    <row r="177">
      <c r="A177" s="6" t="n"/>
      <c r="B177" s="6" t="n"/>
      <c r="C177" s="6" t="n"/>
      <c r="D177" s="6" t="n"/>
      <c r="E177" s="7" t="n"/>
      <c r="F177" s="6" t="n"/>
      <c r="G177" s="6" t="n"/>
      <c r="H177" s="6">
        <f>IF(G177&lt;&gt;"","Paid",IF(AND(F177&lt;&gt;"",F177&lt;TODAY()),"Overdue",IF(F177&lt;&gt;"","Upcoming","")))</f>
        <v/>
      </c>
      <c r="I177" s="6">
        <f>IF(AND(G177="",F177&lt;&gt;"",F177&lt;TODAY()),TODAY()-F177,"")</f>
        <v/>
      </c>
    </row>
    <row r="178">
      <c r="A178" s="6" t="n"/>
      <c r="B178" s="6" t="n"/>
      <c r="C178" s="6" t="n"/>
      <c r="D178" s="6" t="n"/>
      <c r="E178" s="7" t="n"/>
      <c r="F178" s="6" t="n"/>
      <c r="G178" s="6" t="n"/>
      <c r="H178" s="6">
        <f>IF(G178&lt;&gt;"","Paid",IF(AND(F178&lt;&gt;"",F178&lt;TODAY()),"Overdue",IF(F178&lt;&gt;"","Upcoming","")))</f>
        <v/>
      </c>
      <c r="I178" s="6">
        <f>IF(AND(G178="",F178&lt;&gt;"",F178&lt;TODAY()),TODAY()-F178,"")</f>
        <v/>
      </c>
    </row>
    <row r="179">
      <c r="A179" s="6" t="n"/>
      <c r="B179" s="6" t="n"/>
      <c r="C179" s="6" t="n"/>
      <c r="D179" s="6" t="n"/>
      <c r="E179" s="7" t="n"/>
      <c r="F179" s="6" t="n"/>
      <c r="G179" s="6" t="n"/>
      <c r="H179" s="6">
        <f>IF(G179&lt;&gt;"","Paid",IF(AND(F179&lt;&gt;"",F179&lt;TODAY()),"Overdue",IF(F179&lt;&gt;"","Upcoming","")))</f>
        <v/>
      </c>
      <c r="I179" s="6">
        <f>IF(AND(G179="",F179&lt;&gt;"",F179&lt;TODAY()),TODAY()-F179,"")</f>
        <v/>
      </c>
    </row>
    <row r="180">
      <c r="A180" s="6" t="n"/>
      <c r="B180" s="6" t="n"/>
      <c r="C180" s="6" t="n"/>
      <c r="D180" s="6" t="n"/>
      <c r="E180" s="7" t="n"/>
      <c r="F180" s="6" t="n"/>
      <c r="G180" s="6" t="n"/>
      <c r="H180" s="6">
        <f>IF(G180&lt;&gt;"","Paid",IF(AND(F180&lt;&gt;"",F180&lt;TODAY()),"Overdue",IF(F180&lt;&gt;"","Upcoming","")))</f>
        <v/>
      </c>
      <c r="I180" s="6">
        <f>IF(AND(G180="",F180&lt;&gt;"",F180&lt;TODAY()),TODAY()-F180,"")</f>
        <v/>
      </c>
    </row>
    <row r="181">
      <c r="A181" s="6" t="n"/>
      <c r="B181" s="6" t="n"/>
      <c r="C181" s="6" t="n"/>
      <c r="D181" s="6" t="n"/>
      <c r="E181" s="7" t="n"/>
      <c r="F181" s="6" t="n"/>
      <c r="G181" s="6" t="n"/>
      <c r="H181" s="6">
        <f>IF(G181&lt;&gt;"","Paid",IF(AND(F181&lt;&gt;"",F181&lt;TODAY()),"Overdue",IF(F181&lt;&gt;"","Upcoming","")))</f>
        <v/>
      </c>
      <c r="I181" s="6">
        <f>IF(AND(G181="",F181&lt;&gt;"",F181&lt;TODAY()),TODAY()-F181,"")</f>
        <v/>
      </c>
    </row>
    <row r="182">
      <c r="A182" s="6" t="n"/>
      <c r="B182" s="6" t="n"/>
      <c r="C182" s="6" t="n"/>
      <c r="D182" s="6" t="n"/>
      <c r="E182" s="7" t="n"/>
      <c r="F182" s="6" t="n"/>
      <c r="G182" s="6" t="n"/>
      <c r="H182" s="6">
        <f>IF(G182&lt;&gt;"","Paid",IF(AND(F182&lt;&gt;"",F182&lt;TODAY()),"Overdue",IF(F182&lt;&gt;"","Upcoming","")))</f>
        <v/>
      </c>
      <c r="I182" s="6">
        <f>IF(AND(G182="",F182&lt;&gt;"",F182&lt;TODAY()),TODAY()-F182,"")</f>
        <v/>
      </c>
    </row>
    <row r="183">
      <c r="A183" s="6" t="n"/>
      <c r="B183" s="6" t="n"/>
      <c r="C183" s="6" t="n"/>
      <c r="D183" s="6" t="n"/>
      <c r="E183" s="7" t="n"/>
      <c r="F183" s="6" t="n"/>
      <c r="G183" s="6" t="n"/>
      <c r="H183" s="6">
        <f>IF(G183&lt;&gt;"","Paid",IF(AND(F183&lt;&gt;"",F183&lt;TODAY()),"Overdue",IF(F183&lt;&gt;"","Upcoming","")))</f>
        <v/>
      </c>
      <c r="I183" s="6">
        <f>IF(AND(G183="",F183&lt;&gt;"",F183&lt;TODAY()),TODAY()-F183,"")</f>
        <v/>
      </c>
    </row>
    <row r="184">
      <c r="A184" s="6" t="n"/>
      <c r="B184" s="6" t="n"/>
      <c r="C184" s="6" t="n"/>
      <c r="D184" s="6" t="n"/>
      <c r="E184" s="7" t="n"/>
      <c r="F184" s="6" t="n"/>
      <c r="G184" s="6" t="n"/>
      <c r="H184" s="6">
        <f>IF(G184&lt;&gt;"","Paid",IF(AND(F184&lt;&gt;"",F184&lt;TODAY()),"Overdue",IF(F184&lt;&gt;"","Upcoming","")))</f>
        <v/>
      </c>
      <c r="I184" s="6">
        <f>IF(AND(G184="",F184&lt;&gt;"",F184&lt;TODAY()),TODAY()-F184,"")</f>
        <v/>
      </c>
    </row>
    <row r="185">
      <c r="A185" s="6" t="n"/>
      <c r="B185" s="6" t="n"/>
      <c r="C185" s="6" t="n"/>
      <c r="D185" s="6" t="n"/>
      <c r="E185" s="7" t="n"/>
      <c r="F185" s="6" t="n"/>
      <c r="G185" s="6" t="n"/>
      <c r="H185" s="6">
        <f>IF(G185&lt;&gt;"","Paid",IF(AND(F185&lt;&gt;"",F185&lt;TODAY()),"Overdue",IF(F185&lt;&gt;"","Upcoming","")))</f>
        <v/>
      </c>
      <c r="I185" s="6">
        <f>IF(AND(G185="",F185&lt;&gt;"",F185&lt;TODAY()),TODAY()-F185,"")</f>
        <v/>
      </c>
    </row>
    <row r="186">
      <c r="A186" s="6" t="n"/>
      <c r="B186" s="6" t="n"/>
      <c r="C186" s="6" t="n"/>
      <c r="D186" s="6" t="n"/>
      <c r="E186" s="7" t="n"/>
      <c r="F186" s="6" t="n"/>
      <c r="G186" s="6" t="n"/>
      <c r="H186" s="6">
        <f>IF(G186&lt;&gt;"","Paid",IF(AND(F186&lt;&gt;"",F186&lt;TODAY()),"Overdue",IF(F186&lt;&gt;"","Upcoming","")))</f>
        <v/>
      </c>
      <c r="I186" s="6">
        <f>IF(AND(G186="",F186&lt;&gt;"",F186&lt;TODAY()),TODAY()-F186,"")</f>
        <v/>
      </c>
    </row>
    <row r="187">
      <c r="A187" s="6" t="n"/>
      <c r="B187" s="6" t="n"/>
      <c r="C187" s="6" t="n"/>
      <c r="D187" s="6" t="n"/>
      <c r="E187" s="7" t="n"/>
      <c r="F187" s="6" t="n"/>
      <c r="G187" s="6" t="n"/>
      <c r="H187" s="6">
        <f>IF(G187&lt;&gt;"","Paid",IF(AND(F187&lt;&gt;"",F187&lt;TODAY()),"Overdue",IF(F187&lt;&gt;"","Upcoming","")))</f>
        <v/>
      </c>
      <c r="I187" s="6">
        <f>IF(AND(G187="",F187&lt;&gt;"",F187&lt;TODAY()),TODAY()-F187,"")</f>
        <v/>
      </c>
    </row>
    <row r="188">
      <c r="A188" s="6" t="n"/>
      <c r="B188" s="6" t="n"/>
      <c r="C188" s="6" t="n"/>
      <c r="D188" s="6" t="n"/>
      <c r="E188" s="7" t="n"/>
      <c r="F188" s="6" t="n"/>
      <c r="G188" s="6" t="n"/>
      <c r="H188" s="6">
        <f>IF(G188&lt;&gt;"","Paid",IF(AND(F188&lt;&gt;"",F188&lt;TODAY()),"Overdue",IF(F188&lt;&gt;"","Upcoming","")))</f>
        <v/>
      </c>
      <c r="I188" s="6">
        <f>IF(AND(G188="",F188&lt;&gt;"",F188&lt;TODAY()),TODAY()-F188,"")</f>
        <v/>
      </c>
    </row>
    <row r="189">
      <c r="A189" s="6" t="n"/>
      <c r="B189" s="6" t="n"/>
      <c r="C189" s="6" t="n"/>
      <c r="D189" s="6" t="n"/>
      <c r="E189" s="7" t="n"/>
      <c r="F189" s="6" t="n"/>
      <c r="G189" s="6" t="n"/>
      <c r="H189" s="6">
        <f>IF(G189&lt;&gt;"","Paid",IF(AND(F189&lt;&gt;"",F189&lt;TODAY()),"Overdue",IF(F189&lt;&gt;"","Upcoming","")))</f>
        <v/>
      </c>
      <c r="I189" s="6">
        <f>IF(AND(G189="",F189&lt;&gt;"",F189&lt;TODAY()),TODAY()-F189,"")</f>
        <v/>
      </c>
    </row>
    <row r="190">
      <c r="A190" s="6" t="n"/>
      <c r="B190" s="6" t="n"/>
      <c r="C190" s="6" t="n"/>
      <c r="D190" s="6" t="n"/>
      <c r="E190" s="7" t="n"/>
      <c r="F190" s="6" t="n"/>
      <c r="G190" s="6" t="n"/>
      <c r="H190" s="6">
        <f>IF(G190&lt;&gt;"","Paid",IF(AND(F190&lt;&gt;"",F190&lt;TODAY()),"Overdue",IF(F190&lt;&gt;"","Upcoming","")))</f>
        <v/>
      </c>
      <c r="I190" s="6">
        <f>IF(AND(G190="",F190&lt;&gt;"",F190&lt;TODAY()),TODAY()-F190,"")</f>
        <v/>
      </c>
    </row>
    <row r="191">
      <c r="A191" s="6" t="n"/>
      <c r="B191" s="6" t="n"/>
      <c r="C191" s="6" t="n"/>
      <c r="D191" s="6" t="n"/>
      <c r="E191" s="7" t="n"/>
      <c r="F191" s="6" t="n"/>
      <c r="G191" s="6" t="n"/>
      <c r="H191" s="6">
        <f>IF(G191&lt;&gt;"","Paid",IF(AND(F191&lt;&gt;"",F191&lt;TODAY()),"Overdue",IF(F191&lt;&gt;"","Upcoming","")))</f>
        <v/>
      </c>
      <c r="I191" s="6">
        <f>IF(AND(G191="",F191&lt;&gt;"",F191&lt;TODAY()),TODAY()-F191,"")</f>
        <v/>
      </c>
    </row>
    <row r="192">
      <c r="A192" s="6" t="n"/>
      <c r="B192" s="6" t="n"/>
      <c r="C192" s="6" t="n"/>
      <c r="D192" s="6" t="n"/>
      <c r="E192" s="7" t="n"/>
      <c r="F192" s="6" t="n"/>
      <c r="G192" s="6" t="n"/>
      <c r="H192" s="6">
        <f>IF(G192&lt;&gt;"","Paid",IF(AND(F192&lt;&gt;"",F192&lt;TODAY()),"Overdue",IF(F192&lt;&gt;"","Upcoming","")))</f>
        <v/>
      </c>
      <c r="I192" s="6">
        <f>IF(AND(G192="",F192&lt;&gt;"",F192&lt;TODAY()),TODAY()-F192,"")</f>
        <v/>
      </c>
    </row>
    <row r="193">
      <c r="A193" s="6" t="n"/>
      <c r="B193" s="6" t="n"/>
      <c r="C193" s="6" t="n"/>
      <c r="D193" s="6" t="n"/>
      <c r="E193" s="7" t="n"/>
      <c r="F193" s="6" t="n"/>
      <c r="G193" s="6" t="n"/>
      <c r="H193" s="6">
        <f>IF(G193&lt;&gt;"","Paid",IF(AND(F193&lt;&gt;"",F193&lt;TODAY()),"Overdue",IF(F193&lt;&gt;"","Upcoming","")))</f>
        <v/>
      </c>
      <c r="I193" s="6">
        <f>IF(AND(G193="",F193&lt;&gt;"",F193&lt;TODAY()),TODAY()-F193,"")</f>
        <v/>
      </c>
    </row>
    <row r="194">
      <c r="A194" s="6" t="n"/>
      <c r="B194" s="6" t="n"/>
      <c r="C194" s="6" t="n"/>
      <c r="D194" s="6" t="n"/>
      <c r="E194" s="7" t="n"/>
      <c r="F194" s="6" t="n"/>
      <c r="G194" s="6" t="n"/>
      <c r="H194" s="6">
        <f>IF(G194&lt;&gt;"","Paid",IF(AND(F194&lt;&gt;"",F194&lt;TODAY()),"Overdue",IF(F194&lt;&gt;"","Upcoming","")))</f>
        <v/>
      </c>
      <c r="I194" s="6">
        <f>IF(AND(G194="",F194&lt;&gt;"",F194&lt;TODAY()),TODAY()-F194,"")</f>
        <v/>
      </c>
    </row>
    <row r="195">
      <c r="A195" s="6" t="n"/>
      <c r="B195" s="6" t="n"/>
      <c r="C195" s="6" t="n"/>
      <c r="D195" s="6" t="n"/>
      <c r="E195" s="7" t="n"/>
      <c r="F195" s="6" t="n"/>
      <c r="G195" s="6" t="n"/>
      <c r="H195" s="6">
        <f>IF(G195&lt;&gt;"","Paid",IF(AND(F195&lt;&gt;"",F195&lt;TODAY()),"Overdue",IF(F195&lt;&gt;"","Upcoming","")))</f>
        <v/>
      </c>
      <c r="I195" s="6">
        <f>IF(AND(G195="",F195&lt;&gt;"",F195&lt;TODAY()),TODAY()-F195,"")</f>
        <v/>
      </c>
    </row>
    <row r="196">
      <c r="A196" s="6" t="n"/>
      <c r="B196" s="6" t="n"/>
      <c r="C196" s="6" t="n"/>
      <c r="D196" s="6" t="n"/>
      <c r="E196" s="7" t="n"/>
      <c r="F196" s="6" t="n"/>
      <c r="G196" s="6" t="n"/>
      <c r="H196" s="6">
        <f>IF(G196&lt;&gt;"","Paid",IF(AND(F196&lt;&gt;"",F196&lt;TODAY()),"Overdue",IF(F196&lt;&gt;"","Upcoming","")))</f>
        <v/>
      </c>
      <c r="I196" s="6">
        <f>IF(AND(G196="",F196&lt;&gt;"",F196&lt;TODAY()),TODAY()-F196,"")</f>
        <v/>
      </c>
    </row>
    <row r="197">
      <c r="A197" s="6" t="n"/>
      <c r="B197" s="6" t="n"/>
      <c r="C197" s="6" t="n"/>
      <c r="D197" s="6" t="n"/>
      <c r="E197" s="7" t="n"/>
      <c r="F197" s="6" t="n"/>
      <c r="G197" s="6" t="n"/>
      <c r="H197" s="6">
        <f>IF(G197&lt;&gt;"","Paid",IF(AND(F197&lt;&gt;"",F197&lt;TODAY()),"Overdue",IF(F197&lt;&gt;"","Upcoming","")))</f>
        <v/>
      </c>
      <c r="I197" s="6">
        <f>IF(AND(G197="",F197&lt;&gt;"",F197&lt;TODAY()),TODAY()-F197,"")</f>
        <v/>
      </c>
    </row>
    <row r="198">
      <c r="A198" s="6" t="n"/>
      <c r="B198" s="6" t="n"/>
      <c r="C198" s="6" t="n"/>
      <c r="D198" s="6" t="n"/>
      <c r="E198" s="7" t="n"/>
      <c r="F198" s="6" t="n"/>
      <c r="G198" s="6" t="n"/>
      <c r="H198" s="6">
        <f>IF(G198&lt;&gt;"","Paid",IF(AND(F198&lt;&gt;"",F198&lt;TODAY()),"Overdue",IF(F198&lt;&gt;"","Upcoming","")))</f>
        <v/>
      </c>
      <c r="I198" s="6">
        <f>IF(AND(G198="",F198&lt;&gt;"",F198&lt;TODAY()),TODAY()-F198,"")</f>
        <v/>
      </c>
    </row>
    <row r="199">
      <c r="A199" s="6" t="n"/>
      <c r="B199" s="6" t="n"/>
      <c r="C199" s="6" t="n"/>
      <c r="D199" s="6" t="n"/>
      <c r="E199" s="7" t="n"/>
      <c r="F199" s="6" t="n"/>
      <c r="G199" s="6" t="n"/>
      <c r="H199" s="6">
        <f>IF(G199&lt;&gt;"","Paid",IF(AND(F199&lt;&gt;"",F199&lt;TODAY()),"Overdue",IF(F199&lt;&gt;"","Upcoming","")))</f>
        <v/>
      </c>
      <c r="I199" s="6">
        <f>IF(AND(G199="",F199&lt;&gt;"",F199&lt;TODAY()),TODAY()-F199,"")</f>
        <v/>
      </c>
    </row>
    <row r="200">
      <c r="A200" s="6" t="n"/>
      <c r="B200" s="6" t="n"/>
      <c r="C200" s="6" t="n"/>
      <c r="D200" s="6" t="n"/>
      <c r="E200" s="7" t="n"/>
      <c r="F200" s="6" t="n"/>
      <c r="G200" s="6" t="n"/>
      <c r="H200" s="6">
        <f>IF(G200&lt;&gt;"","Paid",IF(AND(F200&lt;&gt;"",F200&lt;TODAY()),"Overdue",IF(F200&lt;&gt;"","Upcoming","")))</f>
        <v/>
      </c>
      <c r="I200" s="6">
        <f>IF(AND(G200="",F200&lt;&gt;"",F200&lt;TODAY()),TODAY()-F200,"")</f>
        <v/>
      </c>
    </row>
    <row r="201">
      <c r="A201" s="6" t="n"/>
      <c r="B201" s="6" t="n"/>
      <c r="C201" s="6" t="n"/>
      <c r="D201" s="6" t="n"/>
      <c r="E201" s="7" t="n"/>
      <c r="F201" s="6" t="n"/>
      <c r="G201" s="6" t="n"/>
      <c r="H201" s="6">
        <f>IF(G201&lt;&gt;"","Paid",IF(AND(F201&lt;&gt;"",F201&lt;TODAY()),"Overdue",IF(F201&lt;&gt;"","Upcoming","")))</f>
        <v/>
      </c>
      <c r="I201" s="6">
        <f>IF(AND(G201="",F201&lt;&gt;"",F201&lt;TODAY()),TODAY()-F201,"")</f>
        <v/>
      </c>
    </row>
    <row r="202">
      <c r="A202" s="6" t="n"/>
      <c r="B202" s="6" t="n"/>
      <c r="C202" s="6" t="n"/>
      <c r="D202" s="6" t="n"/>
      <c r="E202" s="7" t="n"/>
      <c r="F202" s="6" t="n"/>
      <c r="G202" s="6" t="n"/>
      <c r="H202" s="6">
        <f>IF(G202&lt;&gt;"","Paid",IF(AND(F202&lt;&gt;"",F202&lt;TODAY()),"Overdue",IF(F202&lt;&gt;"","Upcoming","")))</f>
        <v/>
      </c>
      <c r="I202" s="6">
        <f>IF(AND(G202="",F202&lt;&gt;"",F202&lt;TODAY()),TODAY()-F202,"")</f>
        <v/>
      </c>
    </row>
    <row r="203">
      <c r="A203" s="6" t="n"/>
      <c r="B203" s="6" t="n"/>
      <c r="C203" s="6" t="n"/>
      <c r="D203" s="6" t="n"/>
      <c r="E203" s="7" t="n"/>
      <c r="F203" s="6" t="n"/>
      <c r="G203" s="6" t="n"/>
      <c r="H203" s="6">
        <f>IF(G203&lt;&gt;"","Paid",IF(AND(F203&lt;&gt;"",F203&lt;TODAY()),"Overdue",IF(F203&lt;&gt;"","Upcoming","")))</f>
        <v/>
      </c>
      <c r="I203" s="6">
        <f>IF(AND(G203="",F203&lt;&gt;"",F203&lt;TODAY()),TODAY()-F203,"")</f>
        <v/>
      </c>
    </row>
    <row r="204">
      <c r="A204" s="6" t="n"/>
      <c r="B204" s="6" t="n"/>
      <c r="C204" s="6" t="n"/>
      <c r="D204" s="6" t="n"/>
      <c r="E204" s="7" t="n"/>
      <c r="F204" s="6" t="n"/>
      <c r="G204" s="6" t="n"/>
      <c r="H204" s="6">
        <f>IF(G204&lt;&gt;"","Paid",IF(AND(F204&lt;&gt;"",F204&lt;TODAY()),"Overdue",IF(F204&lt;&gt;"","Upcoming","")))</f>
        <v/>
      </c>
      <c r="I204" s="6">
        <f>IF(AND(G204="",F204&lt;&gt;"",F204&lt;TODAY()),TODAY()-F204,"")</f>
        <v/>
      </c>
    </row>
    <row r="205">
      <c r="A205" s="6" t="n"/>
      <c r="B205" s="6" t="n"/>
      <c r="C205" s="6" t="n"/>
      <c r="D205" s="6" t="n"/>
      <c r="E205" s="7" t="n"/>
      <c r="F205" s="6" t="n"/>
      <c r="G205" s="6" t="n"/>
      <c r="H205" s="6">
        <f>IF(G205&lt;&gt;"","Paid",IF(AND(F205&lt;&gt;"",F205&lt;TODAY()),"Overdue",IF(F205&lt;&gt;"","Upcoming","")))</f>
        <v/>
      </c>
      <c r="I205" s="6">
        <f>IF(AND(G205="",F205&lt;&gt;"",F205&lt;TODAY()),TODAY()-F205,"")</f>
        <v/>
      </c>
    </row>
    <row r="206">
      <c r="A206" s="6" t="n"/>
      <c r="B206" s="6" t="n"/>
      <c r="C206" s="6" t="n"/>
      <c r="D206" s="6" t="n"/>
      <c r="E206" s="7" t="n"/>
      <c r="F206" s="6" t="n"/>
      <c r="G206" s="6" t="n"/>
      <c r="H206" s="6">
        <f>IF(G206&lt;&gt;"","Paid",IF(AND(F206&lt;&gt;"",F206&lt;TODAY()),"Overdue",IF(F206&lt;&gt;"","Upcoming","")))</f>
        <v/>
      </c>
      <c r="I206" s="6">
        <f>IF(AND(G206="",F206&lt;&gt;"",F206&lt;TODAY()),TODAY()-F206,"")</f>
        <v/>
      </c>
    </row>
    <row r="207">
      <c r="A207" s="6" t="n"/>
      <c r="B207" s="6" t="n"/>
      <c r="C207" s="6" t="n"/>
      <c r="D207" s="6" t="n"/>
      <c r="E207" s="7" t="n"/>
      <c r="F207" s="6" t="n"/>
      <c r="G207" s="6" t="n"/>
      <c r="H207" s="6">
        <f>IF(G207&lt;&gt;"","Paid",IF(AND(F207&lt;&gt;"",F207&lt;TODAY()),"Overdue",IF(F207&lt;&gt;"","Upcoming","")))</f>
        <v/>
      </c>
      <c r="I207" s="6">
        <f>IF(AND(G207="",F207&lt;&gt;"",F207&lt;TODAY()),TODAY()-F207,"")</f>
        <v/>
      </c>
    </row>
    <row r="208">
      <c r="A208" s="6" t="n"/>
      <c r="B208" s="6" t="n"/>
      <c r="C208" s="6" t="n"/>
      <c r="D208" s="6" t="n"/>
      <c r="E208" s="7" t="n"/>
      <c r="F208" s="6" t="n"/>
      <c r="G208" s="6" t="n"/>
      <c r="H208" s="6">
        <f>IF(G208&lt;&gt;"","Paid",IF(AND(F208&lt;&gt;"",F208&lt;TODAY()),"Overdue",IF(F208&lt;&gt;"","Upcoming","")))</f>
        <v/>
      </c>
      <c r="I208" s="6">
        <f>IF(AND(G208="",F208&lt;&gt;"",F208&lt;TODAY()),TODAY()-F208,"")</f>
        <v/>
      </c>
    </row>
    <row r="209">
      <c r="A209" s="6" t="n"/>
      <c r="B209" s="6" t="n"/>
      <c r="C209" s="6" t="n"/>
      <c r="D209" s="6" t="n"/>
      <c r="E209" s="7" t="n"/>
      <c r="F209" s="6" t="n"/>
      <c r="G209" s="6" t="n"/>
      <c r="H209" s="6">
        <f>IF(G209&lt;&gt;"","Paid",IF(AND(F209&lt;&gt;"",F209&lt;TODAY()),"Overdue",IF(F209&lt;&gt;"","Upcoming","")))</f>
        <v/>
      </c>
      <c r="I209" s="6">
        <f>IF(AND(G209="",F209&lt;&gt;"",F209&lt;TODAY()),TODAY()-F209,"")</f>
        <v/>
      </c>
    </row>
    <row r="210">
      <c r="A210" s="6" t="n"/>
      <c r="B210" s="6" t="n"/>
      <c r="C210" s="6" t="n"/>
      <c r="D210" s="6" t="n"/>
      <c r="E210" s="7" t="n"/>
      <c r="F210" s="6" t="n"/>
      <c r="G210" s="6" t="n"/>
      <c r="H210" s="6">
        <f>IF(G210&lt;&gt;"","Paid",IF(AND(F210&lt;&gt;"",F210&lt;TODAY()),"Overdue",IF(F210&lt;&gt;"","Upcoming","")))</f>
        <v/>
      </c>
      <c r="I210" s="6">
        <f>IF(AND(G210="",F210&lt;&gt;"",F210&lt;TODAY()),TODAY()-F210,"")</f>
        <v/>
      </c>
    </row>
    <row r="211">
      <c r="A211" s="6" t="n"/>
      <c r="B211" s="6" t="n"/>
      <c r="C211" s="6" t="n"/>
      <c r="D211" s="6" t="n"/>
      <c r="E211" s="7" t="n"/>
      <c r="F211" s="6" t="n"/>
      <c r="G211" s="6" t="n"/>
      <c r="H211" s="6">
        <f>IF(G211&lt;&gt;"","Paid",IF(AND(F211&lt;&gt;"",F211&lt;TODAY()),"Overdue",IF(F211&lt;&gt;"","Upcoming","")))</f>
        <v/>
      </c>
      <c r="I211" s="6">
        <f>IF(AND(G211="",F211&lt;&gt;"",F211&lt;TODAY()),TODAY()-F211,"")</f>
        <v/>
      </c>
    </row>
    <row r="212">
      <c r="A212" s="6" t="n"/>
      <c r="B212" s="6" t="n"/>
      <c r="C212" s="6" t="n"/>
      <c r="D212" s="6" t="n"/>
      <c r="E212" s="7" t="n"/>
      <c r="F212" s="6" t="n"/>
      <c r="G212" s="6" t="n"/>
      <c r="H212" s="6">
        <f>IF(G212&lt;&gt;"","Paid",IF(AND(F212&lt;&gt;"",F212&lt;TODAY()),"Overdue",IF(F212&lt;&gt;"","Upcoming","")))</f>
        <v/>
      </c>
      <c r="I212" s="6">
        <f>IF(AND(G212="",F212&lt;&gt;"",F212&lt;TODAY()),TODAY()-F212,"")</f>
        <v/>
      </c>
    </row>
    <row r="213">
      <c r="A213" s="6" t="n"/>
      <c r="B213" s="6" t="n"/>
      <c r="C213" s="6" t="n"/>
      <c r="D213" s="6" t="n"/>
      <c r="E213" s="7" t="n"/>
      <c r="F213" s="6" t="n"/>
      <c r="G213" s="6" t="n"/>
      <c r="H213" s="6">
        <f>IF(G213&lt;&gt;"","Paid",IF(AND(F213&lt;&gt;"",F213&lt;TODAY()),"Overdue",IF(F213&lt;&gt;"","Upcoming","")))</f>
        <v/>
      </c>
      <c r="I213" s="6">
        <f>IF(AND(G213="",F213&lt;&gt;"",F213&lt;TODAY()),TODAY()-F213,"")</f>
        <v/>
      </c>
    </row>
    <row r="214">
      <c r="A214" s="6" t="n"/>
      <c r="B214" s="6" t="n"/>
      <c r="C214" s="6" t="n"/>
      <c r="D214" s="6" t="n"/>
      <c r="E214" s="7" t="n"/>
      <c r="F214" s="6" t="n"/>
      <c r="G214" s="6" t="n"/>
      <c r="H214" s="6">
        <f>IF(G214&lt;&gt;"","Paid",IF(AND(F214&lt;&gt;"",F214&lt;TODAY()),"Overdue",IF(F214&lt;&gt;"","Upcoming","")))</f>
        <v/>
      </c>
      <c r="I214" s="6">
        <f>IF(AND(G214="",F214&lt;&gt;"",F214&lt;TODAY()),TODAY()-F214,"")</f>
        <v/>
      </c>
    </row>
    <row r="215">
      <c r="A215" s="6" t="n"/>
      <c r="B215" s="6" t="n"/>
      <c r="C215" s="6" t="n"/>
      <c r="D215" s="6" t="n"/>
      <c r="E215" s="7" t="n"/>
      <c r="F215" s="6" t="n"/>
      <c r="G215" s="6" t="n"/>
      <c r="H215" s="6">
        <f>IF(G215&lt;&gt;"","Paid",IF(AND(F215&lt;&gt;"",F215&lt;TODAY()),"Overdue",IF(F215&lt;&gt;"","Upcoming","")))</f>
        <v/>
      </c>
      <c r="I215" s="6">
        <f>IF(AND(G215="",F215&lt;&gt;"",F215&lt;TODAY()),TODAY()-F215,"")</f>
        <v/>
      </c>
    </row>
    <row r="216">
      <c r="A216" s="6" t="n"/>
      <c r="B216" s="6" t="n"/>
      <c r="C216" s="6" t="n"/>
      <c r="D216" s="6" t="n"/>
      <c r="E216" s="7" t="n"/>
      <c r="F216" s="6" t="n"/>
      <c r="G216" s="6" t="n"/>
      <c r="H216" s="6">
        <f>IF(G216&lt;&gt;"","Paid",IF(AND(F216&lt;&gt;"",F216&lt;TODAY()),"Overdue",IF(F216&lt;&gt;"","Upcoming","")))</f>
        <v/>
      </c>
      <c r="I216" s="6">
        <f>IF(AND(G216="",F216&lt;&gt;"",F216&lt;TODAY()),TODAY()-F216,"")</f>
        <v/>
      </c>
    </row>
    <row r="217">
      <c r="A217" s="6" t="n"/>
      <c r="B217" s="6" t="n"/>
      <c r="C217" s="6" t="n"/>
      <c r="D217" s="6" t="n"/>
      <c r="E217" s="7" t="n"/>
      <c r="F217" s="6" t="n"/>
      <c r="G217" s="6" t="n"/>
      <c r="H217" s="6">
        <f>IF(G217&lt;&gt;"","Paid",IF(AND(F217&lt;&gt;"",F217&lt;TODAY()),"Overdue",IF(F217&lt;&gt;"","Upcoming","")))</f>
        <v/>
      </c>
      <c r="I217" s="6">
        <f>IF(AND(G217="",F217&lt;&gt;"",F217&lt;TODAY()),TODAY()-F217,"")</f>
        <v/>
      </c>
    </row>
    <row r="218">
      <c r="A218" s="6" t="n"/>
      <c r="B218" s="6" t="n"/>
      <c r="C218" s="6" t="n"/>
      <c r="D218" s="6" t="n"/>
      <c r="E218" s="7" t="n"/>
      <c r="F218" s="6" t="n"/>
      <c r="G218" s="6" t="n"/>
      <c r="H218" s="6">
        <f>IF(G218&lt;&gt;"","Paid",IF(AND(F218&lt;&gt;"",F218&lt;TODAY()),"Overdue",IF(F218&lt;&gt;"","Upcoming","")))</f>
        <v/>
      </c>
      <c r="I218" s="6">
        <f>IF(AND(G218="",F218&lt;&gt;"",F218&lt;TODAY()),TODAY()-F218,"")</f>
        <v/>
      </c>
    </row>
    <row r="219">
      <c r="A219" s="6" t="n"/>
      <c r="B219" s="6" t="n"/>
      <c r="C219" s="6" t="n"/>
      <c r="D219" s="6" t="n"/>
      <c r="E219" s="7" t="n"/>
      <c r="F219" s="6" t="n"/>
      <c r="G219" s="6" t="n"/>
      <c r="H219" s="6">
        <f>IF(G219&lt;&gt;"","Paid",IF(AND(F219&lt;&gt;"",F219&lt;TODAY()),"Overdue",IF(F219&lt;&gt;"","Upcoming","")))</f>
        <v/>
      </c>
      <c r="I219" s="6">
        <f>IF(AND(G219="",F219&lt;&gt;"",F219&lt;TODAY()),TODAY()-F219,"")</f>
        <v/>
      </c>
    </row>
    <row r="220">
      <c r="A220" s="6" t="n"/>
      <c r="B220" s="6" t="n"/>
      <c r="C220" s="6" t="n"/>
      <c r="D220" s="6" t="n"/>
      <c r="E220" s="7" t="n"/>
      <c r="F220" s="6" t="n"/>
      <c r="G220" s="6" t="n"/>
      <c r="H220" s="6">
        <f>IF(G220&lt;&gt;"","Paid",IF(AND(F220&lt;&gt;"",F220&lt;TODAY()),"Overdue",IF(F220&lt;&gt;"","Upcoming","")))</f>
        <v/>
      </c>
      <c r="I220" s="6">
        <f>IF(AND(G220="",F220&lt;&gt;"",F220&lt;TODAY()),TODAY()-F220,"")</f>
        <v/>
      </c>
    </row>
    <row r="221">
      <c r="A221" s="6" t="n"/>
      <c r="B221" s="6" t="n"/>
      <c r="C221" s="6" t="n"/>
      <c r="D221" s="6" t="n"/>
      <c r="E221" s="7" t="n"/>
      <c r="F221" s="6" t="n"/>
      <c r="G221" s="6" t="n"/>
      <c r="H221" s="6">
        <f>IF(G221&lt;&gt;"","Paid",IF(AND(F221&lt;&gt;"",F221&lt;TODAY()),"Overdue",IF(F221&lt;&gt;"","Upcoming","")))</f>
        <v/>
      </c>
      <c r="I221" s="6">
        <f>IF(AND(G221="",F221&lt;&gt;"",F221&lt;TODAY()),TODAY()-F221,"")</f>
        <v/>
      </c>
    </row>
    <row r="222">
      <c r="A222" s="6" t="n"/>
      <c r="B222" s="6" t="n"/>
      <c r="C222" s="6" t="n"/>
      <c r="D222" s="6" t="n"/>
      <c r="E222" s="7" t="n"/>
      <c r="F222" s="6" t="n"/>
      <c r="G222" s="6" t="n"/>
      <c r="H222" s="6">
        <f>IF(G222&lt;&gt;"","Paid",IF(AND(F222&lt;&gt;"",F222&lt;TODAY()),"Overdue",IF(F222&lt;&gt;"","Upcoming","")))</f>
        <v/>
      </c>
      <c r="I222" s="6">
        <f>IF(AND(G222="",F222&lt;&gt;"",F222&lt;TODAY()),TODAY()-F222,"")</f>
        <v/>
      </c>
    </row>
    <row r="223">
      <c r="A223" s="6" t="n"/>
      <c r="B223" s="6" t="n"/>
      <c r="C223" s="6" t="n"/>
      <c r="D223" s="6" t="n"/>
      <c r="E223" s="7" t="n"/>
      <c r="F223" s="6" t="n"/>
      <c r="G223" s="6" t="n"/>
      <c r="H223" s="6">
        <f>IF(G223&lt;&gt;"","Paid",IF(AND(F223&lt;&gt;"",F223&lt;TODAY()),"Overdue",IF(F223&lt;&gt;"","Upcoming","")))</f>
        <v/>
      </c>
      <c r="I223" s="6">
        <f>IF(AND(G223="",F223&lt;&gt;"",F223&lt;TODAY()),TODAY()-F223,"")</f>
        <v/>
      </c>
    </row>
    <row r="224">
      <c r="A224" s="6" t="n"/>
      <c r="B224" s="6" t="n"/>
      <c r="C224" s="6" t="n"/>
      <c r="D224" s="6" t="n"/>
      <c r="E224" s="7" t="n"/>
      <c r="F224" s="6" t="n"/>
      <c r="G224" s="6" t="n"/>
      <c r="H224" s="6">
        <f>IF(G224&lt;&gt;"","Paid",IF(AND(F224&lt;&gt;"",F224&lt;TODAY()),"Overdue",IF(F224&lt;&gt;"","Upcoming","")))</f>
        <v/>
      </c>
      <c r="I224" s="6">
        <f>IF(AND(G224="",F224&lt;&gt;"",F224&lt;TODAY()),TODAY()-F224,"")</f>
        <v/>
      </c>
    </row>
    <row r="225">
      <c r="A225" s="6" t="n"/>
      <c r="B225" s="6" t="n"/>
      <c r="C225" s="6" t="n"/>
      <c r="D225" s="6" t="n"/>
      <c r="E225" s="7" t="n"/>
      <c r="F225" s="6" t="n"/>
      <c r="G225" s="6" t="n"/>
      <c r="H225" s="6">
        <f>IF(G225&lt;&gt;"","Paid",IF(AND(F225&lt;&gt;"",F225&lt;TODAY()),"Overdue",IF(F225&lt;&gt;"","Upcoming","")))</f>
        <v/>
      </c>
      <c r="I225" s="6">
        <f>IF(AND(G225="",F225&lt;&gt;"",F225&lt;TODAY()),TODAY()-F225,"")</f>
        <v/>
      </c>
    </row>
    <row r="226">
      <c r="A226" s="6" t="n"/>
      <c r="B226" s="6" t="n"/>
      <c r="C226" s="6" t="n"/>
      <c r="D226" s="6" t="n"/>
      <c r="E226" s="7" t="n"/>
      <c r="F226" s="6" t="n"/>
      <c r="G226" s="6" t="n"/>
      <c r="H226" s="6">
        <f>IF(G226&lt;&gt;"","Paid",IF(AND(F226&lt;&gt;"",F226&lt;TODAY()),"Overdue",IF(F226&lt;&gt;"","Upcoming","")))</f>
        <v/>
      </c>
      <c r="I226" s="6">
        <f>IF(AND(G226="",F226&lt;&gt;"",F226&lt;TODAY()),TODAY()-F226,"")</f>
        <v/>
      </c>
    </row>
    <row r="227">
      <c r="A227" s="6" t="n"/>
      <c r="B227" s="6" t="n"/>
      <c r="C227" s="6" t="n"/>
      <c r="D227" s="6" t="n"/>
      <c r="E227" s="7" t="n"/>
      <c r="F227" s="6" t="n"/>
      <c r="G227" s="6" t="n"/>
      <c r="H227" s="6">
        <f>IF(G227&lt;&gt;"","Paid",IF(AND(F227&lt;&gt;"",F227&lt;TODAY()),"Overdue",IF(F227&lt;&gt;"","Upcoming","")))</f>
        <v/>
      </c>
      <c r="I227" s="6">
        <f>IF(AND(G227="",F227&lt;&gt;"",F227&lt;TODAY()),TODAY()-F227,"")</f>
        <v/>
      </c>
    </row>
    <row r="228">
      <c r="A228" s="6" t="n"/>
      <c r="B228" s="6" t="n"/>
      <c r="C228" s="6" t="n"/>
      <c r="D228" s="6" t="n"/>
      <c r="E228" s="7" t="n"/>
      <c r="F228" s="6" t="n"/>
      <c r="G228" s="6" t="n"/>
      <c r="H228" s="6">
        <f>IF(G228&lt;&gt;"","Paid",IF(AND(F228&lt;&gt;"",F228&lt;TODAY()),"Overdue",IF(F228&lt;&gt;"","Upcoming","")))</f>
        <v/>
      </c>
      <c r="I228" s="6">
        <f>IF(AND(G228="",F228&lt;&gt;"",F228&lt;TODAY()),TODAY()-F228,"")</f>
        <v/>
      </c>
    </row>
    <row r="229">
      <c r="A229" s="6" t="n"/>
      <c r="B229" s="6" t="n"/>
      <c r="C229" s="6" t="n"/>
      <c r="D229" s="6" t="n"/>
      <c r="E229" s="7" t="n"/>
      <c r="F229" s="6" t="n"/>
      <c r="G229" s="6" t="n"/>
      <c r="H229" s="6">
        <f>IF(G229&lt;&gt;"","Paid",IF(AND(F229&lt;&gt;"",F229&lt;TODAY()),"Overdue",IF(F229&lt;&gt;"","Upcoming","")))</f>
        <v/>
      </c>
      <c r="I229" s="6">
        <f>IF(AND(G229="",F229&lt;&gt;"",F229&lt;TODAY()),TODAY()-F229,"")</f>
        <v/>
      </c>
    </row>
    <row r="230">
      <c r="A230" s="6" t="n"/>
      <c r="B230" s="6" t="n"/>
      <c r="C230" s="6" t="n"/>
      <c r="D230" s="6" t="n"/>
      <c r="E230" s="7" t="n"/>
      <c r="F230" s="6" t="n"/>
      <c r="G230" s="6" t="n"/>
      <c r="H230" s="6">
        <f>IF(G230&lt;&gt;"","Paid",IF(AND(F230&lt;&gt;"",F230&lt;TODAY()),"Overdue",IF(F230&lt;&gt;"","Upcoming","")))</f>
        <v/>
      </c>
      <c r="I230" s="6">
        <f>IF(AND(G230="",F230&lt;&gt;"",F230&lt;TODAY()),TODAY()-F230,"")</f>
        <v/>
      </c>
    </row>
    <row r="231">
      <c r="A231" s="6" t="n"/>
      <c r="B231" s="6" t="n"/>
      <c r="C231" s="6" t="n"/>
      <c r="D231" s="6" t="n"/>
      <c r="E231" s="7" t="n"/>
      <c r="F231" s="6" t="n"/>
      <c r="G231" s="6" t="n"/>
      <c r="H231" s="6">
        <f>IF(G231&lt;&gt;"","Paid",IF(AND(F231&lt;&gt;"",F231&lt;TODAY()),"Overdue",IF(F231&lt;&gt;"","Upcoming","")))</f>
        <v/>
      </c>
      <c r="I231" s="6">
        <f>IF(AND(G231="",F231&lt;&gt;"",F231&lt;TODAY()),TODAY()-F231,"")</f>
        <v/>
      </c>
    </row>
    <row r="232">
      <c r="A232" s="6" t="n"/>
      <c r="B232" s="6" t="n"/>
      <c r="C232" s="6" t="n"/>
      <c r="D232" s="6" t="n"/>
      <c r="E232" s="7" t="n"/>
      <c r="F232" s="6" t="n"/>
      <c r="G232" s="6" t="n"/>
      <c r="H232" s="6">
        <f>IF(G232&lt;&gt;"","Paid",IF(AND(F232&lt;&gt;"",F232&lt;TODAY()),"Overdue",IF(F232&lt;&gt;"","Upcoming","")))</f>
        <v/>
      </c>
      <c r="I232" s="6">
        <f>IF(AND(G232="",F232&lt;&gt;"",F232&lt;TODAY()),TODAY()-F232,"")</f>
        <v/>
      </c>
    </row>
    <row r="233">
      <c r="A233" s="6" t="n"/>
      <c r="B233" s="6" t="n"/>
      <c r="C233" s="6" t="n"/>
      <c r="D233" s="6" t="n"/>
      <c r="E233" s="7" t="n"/>
      <c r="F233" s="6" t="n"/>
      <c r="G233" s="6" t="n"/>
      <c r="H233" s="6">
        <f>IF(G233&lt;&gt;"","Paid",IF(AND(F233&lt;&gt;"",F233&lt;TODAY()),"Overdue",IF(F233&lt;&gt;"","Upcoming","")))</f>
        <v/>
      </c>
      <c r="I233" s="6">
        <f>IF(AND(G233="",F233&lt;&gt;"",F233&lt;TODAY()),TODAY()-F233,"")</f>
        <v/>
      </c>
    </row>
    <row r="234">
      <c r="A234" s="6" t="n"/>
      <c r="B234" s="6" t="n"/>
      <c r="C234" s="6" t="n"/>
      <c r="D234" s="6" t="n"/>
      <c r="E234" s="7" t="n"/>
      <c r="F234" s="6" t="n"/>
      <c r="G234" s="6" t="n"/>
      <c r="H234" s="6">
        <f>IF(G234&lt;&gt;"","Paid",IF(AND(F234&lt;&gt;"",F234&lt;TODAY()),"Overdue",IF(F234&lt;&gt;"","Upcoming","")))</f>
        <v/>
      </c>
      <c r="I234" s="6">
        <f>IF(AND(G234="",F234&lt;&gt;"",F234&lt;TODAY()),TODAY()-F234,"")</f>
        <v/>
      </c>
    </row>
    <row r="235">
      <c r="A235" s="6" t="n"/>
      <c r="B235" s="6" t="n"/>
      <c r="C235" s="6" t="n"/>
      <c r="D235" s="6" t="n"/>
      <c r="E235" s="7" t="n"/>
      <c r="F235" s="6" t="n"/>
      <c r="G235" s="6" t="n"/>
      <c r="H235" s="6">
        <f>IF(G235&lt;&gt;"","Paid",IF(AND(F235&lt;&gt;"",F235&lt;TODAY()),"Overdue",IF(F235&lt;&gt;"","Upcoming","")))</f>
        <v/>
      </c>
      <c r="I235" s="6">
        <f>IF(AND(G235="",F235&lt;&gt;"",F235&lt;TODAY()),TODAY()-F235,"")</f>
        <v/>
      </c>
    </row>
    <row r="236">
      <c r="A236" s="6" t="n"/>
      <c r="B236" s="6" t="n"/>
      <c r="C236" s="6" t="n"/>
      <c r="D236" s="6" t="n"/>
      <c r="E236" s="7" t="n"/>
      <c r="F236" s="6" t="n"/>
      <c r="G236" s="6" t="n"/>
      <c r="H236" s="6">
        <f>IF(G236&lt;&gt;"","Paid",IF(AND(F236&lt;&gt;"",F236&lt;TODAY()),"Overdue",IF(F236&lt;&gt;"","Upcoming","")))</f>
        <v/>
      </c>
      <c r="I236" s="6">
        <f>IF(AND(G236="",F236&lt;&gt;"",F236&lt;TODAY()),TODAY()-F236,"")</f>
        <v/>
      </c>
    </row>
    <row r="237">
      <c r="A237" s="6" t="n"/>
      <c r="B237" s="6" t="n"/>
      <c r="C237" s="6" t="n"/>
      <c r="D237" s="6" t="n"/>
      <c r="E237" s="7" t="n"/>
      <c r="F237" s="6" t="n"/>
      <c r="G237" s="6" t="n"/>
      <c r="H237" s="6">
        <f>IF(G237&lt;&gt;"","Paid",IF(AND(F237&lt;&gt;"",F237&lt;TODAY()),"Overdue",IF(F237&lt;&gt;"","Upcoming","")))</f>
        <v/>
      </c>
      <c r="I237" s="6">
        <f>IF(AND(G237="",F237&lt;&gt;"",F237&lt;TODAY()),TODAY()-F237,"")</f>
        <v/>
      </c>
    </row>
    <row r="238">
      <c r="A238" s="6" t="n"/>
      <c r="B238" s="6" t="n"/>
      <c r="C238" s="6" t="n"/>
      <c r="D238" s="6" t="n"/>
      <c r="E238" s="7" t="n"/>
      <c r="F238" s="6" t="n"/>
      <c r="G238" s="6" t="n"/>
      <c r="H238" s="6">
        <f>IF(G238&lt;&gt;"","Paid",IF(AND(F238&lt;&gt;"",F238&lt;TODAY()),"Overdue",IF(F238&lt;&gt;"","Upcoming","")))</f>
        <v/>
      </c>
      <c r="I238" s="6">
        <f>IF(AND(G238="",F238&lt;&gt;"",F238&lt;TODAY()),TODAY()-F238,"")</f>
        <v/>
      </c>
    </row>
    <row r="239">
      <c r="A239" s="6" t="n"/>
      <c r="B239" s="6" t="n"/>
      <c r="C239" s="6" t="n"/>
      <c r="D239" s="6" t="n"/>
      <c r="E239" s="7" t="n"/>
      <c r="F239" s="6" t="n"/>
      <c r="G239" s="6" t="n"/>
      <c r="H239" s="6">
        <f>IF(G239&lt;&gt;"","Paid",IF(AND(F239&lt;&gt;"",F239&lt;TODAY()),"Overdue",IF(F239&lt;&gt;"","Upcoming","")))</f>
        <v/>
      </c>
      <c r="I239" s="6">
        <f>IF(AND(G239="",F239&lt;&gt;"",F239&lt;TODAY()),TODAY()-F239,"")</f>
        <v/>
      </c>
    </row>
    <row r="240">
      <c r="A240" s="6" t="n"/>
      <c r="B240" s="6" t="n"/>
      <c r="C240" s="6" t="n"/>
      <c r="D240" s="6" t="n"/>
      <c r="E240" s="7" t="n"/>
      <c r="F240" s="6" t="n"/>
      <c r="G240" s="6" t="n"/>
      <c r="H240" s="6">
        <f>IF(G240&lt;&gt;"","Paid",IF(AND(F240&lt;&gt;"",F240&lt;TODAY()),"Overdue",IF(F240&lt;&gt;"","Upcoming","")))</f>
        <v/>
      </c>
      <c r="I240" s="6">
        <f>IF(AND(G240="",F240&lt;&gt;"",F240&lt;TODAY()),TODAY()-F240,"")</f>
        <v/>
      </c>
    </row>
    <row r="241">
      <c r="A241" s="6" t="n"/>
      <c r="B241" s="6" t="n"/>
      <c r="C241" s="6" t="n"/>
      <c r="D241" s="6" t="n"/>
      <c r="E241" s="7" t="n"/>
      <c r="F241" s="6" t="n"/>
      <c r="G241" s="6" t="n"/>
      <c r="H241" s="6">
        <f>IF(G241&lt;&gt;"","Paid",IF(AND(F241&lt;&gt;"",F241&lt;TODAY()),"Overdue",IF(F241&lt;&gt;"","Upcoming","")))</f>
        <v/>
      </c>
      <c r="I241" s="6">
        <f>IF(AND(G241="",F241&lt;&gt;"",F241&lt;TODAY()),TODAY()-F241,"")</f>
        <v/>
      </c>
    </row>
    <row r="242">
      <c r="A242" s="6" t="n"/>
      <c r="B242" s="6" t="n"/>
      <c r="C242" s="6" t="n"/>
      <c r="D242" s="6" t="n"/>
      <c r="E242" s="7" t="n"/>
      <c r="F242" s="6" t="n"/>
      <c r="G242" s="6" t="n"/>
      <c r="H242" s="6">
        <f>IF(G242&lt;&gt;"","Paid",IF(AND(F242&lt;&gt;"",F242&lt;TODAY()),"Overdue",IF(F242&lt;&gt;"","Upcoming","")))</f>
        <v/>
      </c>
      <c r="I242" s="6">
        <f>IF(AND(G242="",F242&lt;&gt;"",F242&lt;TODAY()),TODAY()-F242,"")</f>
        <v/>
      </c>
    </row>
    <row r="243">
      <c r="A243" s="6" t="n"/>
      <c r="B243" s="6" t="n"/>
      <c r="C243" s="6" t="n"/>
      <c r="D243" s="6" t="n"/>
      <c r="E243" s="7" t="n"/>
      <c r="F243" s="6" t="n"/>
      <c r="G243" s="6" t="n"/>
      <c r="H243" s="6">
        <f>IF(G243&lt;&gt;"","Paid",IF(AND(F243&lt;&gt;"",F243&lt;TODAY()),"Overdue",IF(F243&lt;&gt;"","Upcoming","")))</f>
        <v/>
      </c>
      <c r="I243" s="6">
        <f>IF(AND(G243="",F243&lt;&gt;"",F243&lt;TODAY()),TODAY()-F243,"")</f>
        <v/>
      </c>
    </row>
    <row r="244">
      <c r="A244" s="6" t="n"/>
      <c r="B244" s="6" t="n"/>
      <c r="C244" s="6" t="n"/>
      <c r="D244" s="6" t="n"/>
      <c r="E244" s="7" t="n"/>
      <c r="F244" s="6" t="n"/>
      <c r="G244" s="6" t="n"/>
      <c r="H244" s="6">
        <f>IF(G244&lt;&gt;"","Paid",IF(AND(F244&lt;&gt;"",F244&lt;TODAY()),"Overdue",IF(F244&lt;&gt;"","Upcoming","")))</f>
        <v/>
      </c>
      <c r="I244" s="6">
        <f>IF(AND(G244="",F244&lt;&gt;"",F244&lt;TODAY()),TODAY()-F244,"")</f>
        <v/>
      </c>
    </row>
    <row r="245">
      <c r="A245" s="6" t="n"/>
      <c r="B245" s="6" t="n"/>
      <c r="C245" s="6" t="n"/>
      <c r="D245" s="6" t="n"/>
      <c r="E245" s="7" t="n"/>
      <c r="F245" s="6" t="n"/>
      <c r="G245" s="6" t="n"/>
      <c r="H245" s="6">
        <f>IF(G245&lt;&gt;"","Paid",IF(AND(F245&lt;&gt;"",F245&lt;TODAY()),"Overdue",IF(F245&lt;&gt;"","Upcoming","")))</f>
        <v/>
      </c>
      <c r="I245" s="6">
        <f>IF(AND(G245="",F245&lt;&gt;"",F245&lt;TODAY()),TODAY()-F245,"")</f>
        <v/>
      </c>
    </row>
    <row r="246">
      <c r="A246" s="6" t="n"/>
      <c r="B246" s="6" t="n"/>
      <c r="C246" s="6" t="n"/>
      <c r="D246" s="6" t="n"/>
      <c r="E246" s="7" t="n"/>
      <c r="F246" s="6" t="n"/>
      <c r="G246" s="6" t="n"/>
      <c r="H246" s="6">
        <f>IF(G246&lt;&gt;"","Paid",IF(AND(F246&lt;&gt;"",F246&lt;TODAY()),"Overdue",IF(F246&lt;&gt;"","Upcoming","")))</f>
        <v/>
      </c>
      <c r="I246" s="6">
        <f>IF(AND(G246="",F246&lt;&gt;"",F246&lt;TODAY()),TODAY()-F246,"")</f>
        <v/>
      </c>
    </row>
    <row r="247">
      <c r="A247" s="6" t="n"/>
      <c r="B247" s="6" t="n"/>
      <c r="C247" s="6" t="n"/>
      <c r="D247" s="6" t="n"/>
      <c r="E247" s="7" t="n"/>
      <c r="F247" s="6" t="n"/>
      <c r="G247" s="6" t="n"/>
      <c r="H247" s="6">
        <f>IF(G247&lt;&gt;"","Paid",IF(AND(F247&lt;&gt;"",F247&lt;TODAY()),"Overdue",IF(F247&lt;&gt;"","Upcoming","")))</f>
        <v/>
      </c>
      <c r="I247" s="6">
        <f>IF(AND(G247="",F247&lt;&gt;"",F247&lt;TODAY()),TODAY()-F247,"")</f>
        <v/>
      </c>
    </row>
    <row r="248">
      <c r="A248" s="6" t="n"/>
      <c r="B248" s="6" t="n"/>
      <c r="C248" s="6" t="n"/>
      <c r="D248" s="6" t="n"/>
      <c r="E248" s="7" t="n"/>
      <c r="F248" s="6" t="n"/>
      <c r="G248" s="6" t="n"/>
      <c r="H248" s="6">
        <f>IF(G248&lt;&gt;"","Paid",IF(AND(F248&lt;&gt;"",F248&lt;TODAY()),"Overdue",IF(F248&lt;&gt;"","Upcoming","")))</f>
        <v/>
      </c>
      <c r="I248" s="6">
        <f>IF(AND(G248="",F248&lt;&gt;"",F248&lt;TODAY()),TODAY()-F248,"")</f>
        <v/>
      </c>
    </row>
    <row r="249">
      <c r="A249" s="6" t="n"/>
      <c r="B249" s="6" t="n"/>
      <c r="C249" s="6" t="n"/>
      <c r="D249" s="6" t="n"/>
      <c r="E249" s="7" t="n"/>
      <c r="F249" s="6" t="n"/>
      <c r="G249" s="6" t="n"/>
      <c r="H249" s="6">
        <f>IF(G249&lt;&gt;"","Paid",IF(AND(F249&lt;&gt;"",F249&lt;TODAY()),"Overdue",IF(F249&lt;&gt;"","Upcoming","")))</f>
        <v/>
      </c>
      <c r="I249" s="6">
        <f>IF(AND(G249="",F249&lt;&gt;"",F249&lt;TODAY()),TODAY()-F249,"")</f>
        <v/>
      </c>
    </row>
    <row r="250">
      <c r="A250" s="6" t="n"/>
      <c r="B250" s="6" t="n"/>
      <c r="C250" s="6" t="n"/>
      <c r="D250" s="6" t="n"/>
      <c r="E250" s="7" t="n"/>
      <c r="F250" s="6" t="n"/>
      <c r="G250" s="6" t="n"/>
      <c r="H250" s="6">
        <f>IF(G250&lt;&gt;"","Paid",IF(AND(F250&lt;&gt;"",F250&lt;TODAY()),"Overdue",IF(F250&lt;&gt;"","Upcoming","")))</f>
        <v/>
      </c>
      <c r="I250" s="6">
        <f>IF(AND(G250="",F250&lt;&gt;"",F250&lt;TODAY()),TODAY()-F250,"")</f>
        <v/>
      </c>
    </row>
    <row r="251">
      <c r="A251" s="6" t="n"/>
      <c r="B251" s="6" t="n"/>
      <c r="C251" s="6" t="n"/>
      <c r="D251" s="6" t="n"/>
      <c r="E251" s="7" t="n"/>
      <c r="F251" s="6" t="n"/>
      <c r="G251" s="6" t="n"/>
      <c r="H251" s="6">
        <f>IF(G251&lt;&gt;"","Paid",IF(AND(F251&lt;&gt;"",F251&lt;TODAY()),"Overdue",IF(F251&lt;&gt;"","Upcoming","")))</f>
        <v/>
      </c>
      <c r="I251" s="6">
        <f>IF(AND(G251="",F251&lt;&gt;"",F251&lt;TODAY()),TODAY()-F251,"")</f>
        <v/>
      </c>
    </row>
    <row r="252">
      <c r="A252" s="6" t="n"/>
      <c r="B252" s="6" t="n"/>
      <c r="C252" s="6" t="n"/>
      <c r="D252" s="6" t="n"/>
      <c r="E252" s="7" t="n"/>
      <c r="F252" s="6" t="n"/>
      <c r="G252" s="6" t="n"/>
      <c r="H252" s="6">
        <f>IF(G252&lt;&gt;"","Paid",IF(AND(F252&lt;&gt;"",F252&lt;TODAY()),"Overdue",IF(F252&lt;&gt;"","Upcoming","")))</f>
        <v/>
      </c>
      <c r="I252" s="6">
        <f>IF(AND(G252="",F252&lt;&gt;"",F252&lt;TODAY()),TODAY()-F252,"")</f>
        <v/>
      </c>
    </row>
    <row r="253">
      <c r="A253" s="6" t="n"/>
      <c r="B253" s="6" t="n"/>
      <c r="C253" s="6" t="n"/>
      <c r="D253" s="6" t="n"/>
      <c r="E253" s="7" t="n"/>
      <c r="F253" s="6" t="n"/>
      <c r="G253" s="6" t="n"/>
      <c r="H253" s="6">
        <f>IF(G253&lt;&gt;"","Paid",IF(AND(F253&lt;&gt;"",F253&lt;TODAY()),"Overdue",IF(F253&lt;&gt;"","Upcoming","")))</f>
        <v/>
      </c>
      <c r="I253" s="6">
        <f>IF(AND(G253="",F253&lt;&gt;"",F253&lt;TODAY()),TODAY()-F253,"")</f>
        <v/>
      </c>
    </row>
    <row r="254">
      <c r="A254" s="6" t="n"/>
      <c r="B254" s="6" t="n"/>
      <c r="C254" s="6" t="n"/>
      <c r="D254" s="6" t="n"/>
      <c r="E254" s="7" t="n"/>
      <c r="F254" s="6" t="n"/>
      <c r="G254" s="6" t="n"/>
      <c r="H254" s="6">
        <f>IF(G254&lt;&gt;"","Paid",IF(AND(F254&lt;&gt;"",F254&lt;TODAY()),"Overdue",IF(F254&lt;&gt;"","Upcoming","")))</f>
        <v/>
      </c>
      <c r="I254" s="6">
        <f>IF(AND(G254="",F254&lt;&gt;"",F254&lt;TODAY()),TODAY()-F254,"")</f>
        <v/>
      </c>
    </row>
    <row r="255">
      <c r="A255" s="6" t="n"/>
      <c r="B255" s="6" t="n"/>
      <c r="C255" s="6" t="n"/>
      <c r="D255" s="6" t="n"/>
      <c r="E255" s="7" t="n"/>
      <c r="F255" s="6" t="n"/>
      <c r="G255" s="6" t="n"/>
      <c r="H255" s="6">
        <f>IF(G255&lt;&gt;"","Paid",IF(AND(F255&lt;&gt;"",F255&lt;TODAY()),"Overdue",IF(F255&lt;&gt;"","Upcoming","")))</f>
        <v/>
      </c>
      <c r="I255" s="6">
        <f>IF(AND(G255="",F255&lt;&gt;"",F255&lt;TODAY()),TODAY()-F255,"")</f>
        <v/>
      </c>
    </row>
    <row r="256">
      <c r="A256" s="6" t="n"/>
      <c r="B256" s="6" t="n"/>
      <c r="C256" s="6" t="n"/>
      <c r="D256" s="6" t="n"/>
      <c r="E256" s="7" t="n"/>
      <c r="F256" s="6" t="n"/>
      <c r="G256" s="6" t="n"/>
      <c r="H256" s="6">
        <f>IF(G256&lt;&gt;"","Paid",IF(AND(F256&lt;&gt;"",F256&lt;TODAY()),"Overdue",IF(F256&lt;&gt;"","Upcoming","")))</f>
        <v/>
      </c>
      <c r="I256" s="6">
        <f>IF(AND(G256="",F256&lt;&gt;"",F256&lt;TODAY()),TODAY()-F256,"")</f>
        <v/>
      </c>
    </row>
    <row r="257">
      <c r="A257" s="6" t="n"/>
      <c r="B257" s="6" t="n"/>
      <c r="C257" s="6" t="n"/>
      <c r="D257" s="6" t="n"/>
      <c r="E257" s="7" t="n"/>
      <c r="F257" s="6" t="n"/>
      <c r="G257" s="6" t="n"/>
      <c r="H257" s="6">
        <f>IF(G257&lt;&gt;"","Paid",IF(AND(F257&lt;&gt;"",F257&lt;TODAY()),"Overdue",IF(F257&lt;&gt;"","Upcoming","")))</f>
        <v/>
      </c>
      <c r="I257" s="6">
        <f>IF(AND(G257="",F257&lt;&gt;"",F257&lt;TODAY()),TODAY()-F257,"")</f>
        <v/>
      </c>
    </row>
    <row r="258">
      <c r="A258" s="6" t="n"/>
      <c r="B258" s="6" t="n"/>
      <c r="C258" s="6" t="n"/>
      <c r="D258" s="6" t="n"/>
      <c r="E258" s="7" t="n"/>
      <c r="F258" s="6" t="n"/>
      <c r="G258" s="6" t="n"/>
      <c r="H258" s="6">
        <f>IF(G258&lt;&gt;"","Paid",IF(AND(F258&lt;&gt;"",F258&lt;TODAY()),"Overdue",IF(F258&lt;&gt;"","Upcoming","")))</f>
        <v/>
      </c>
      <c r="I258" s="6">
        <f>IF(AND(G258="",F258&lt;&gt;"",F258&lt;TODAY()),TODAY()-F258,"")</f>
        <v/>
      </c>
    </row>
    <row r="259">
      <c r="A259" s="6" t="n"/>
      <c r="B259" s="6" t="n"/>
      <c r="C259" s="6" t="n"/>
      <c r="D259" s="6" t="n"/>
      <c r="E259" s="7" t="n"/>
      <c r="F259" s="6" t="n"/>
      <c r="G259" s="6" t="n"/>
      <c r="H259" s="6">
        <f>IF(G259&lt;&gt;"","Paid",IF(AND(F259&lt;&gt;"",F259&lt;TODAY()),"Overdue",IF(F259&lt;&gt;"","Upcoming","")))</f>
        <v/>
      </c>
      <c r="I259" s="6">
        <f>IF(AND(G259="",F259&lt;&gt;"",F259&lt;TODAY()),TODAY()-F259,"")</f>
        <v/>
      </c>
    </row>
    <row r="260">
      <c r="A260" s="6" t="n"/>
      <c r="B260" s="6" t="n"/>
      <c r="C260" s="6" t="n"/>
      <c r="D260" s="6" t="n"/>
      <c r="E260" s="7" t="n"/>
      <c r="F260" s="6" t="n"/>
      <c r="G260" s="6" t="n"/>
      <c r="H260" s="6">
        <f>IF(G260&lt;&gt;"","Paid",IF(AND(F260&lt;&gt;"",F260&lt;TODAY()),"Overdue",IF(F260&lt;&gt;"","Upcoming","")))</f>
        <v/>
      </c>
      <c r="I260" s="6">
        <f>IF(AND(G260="",F260&lt;&gt;"",F260&lt;TODAY()),TODAY()-F260,"")</f>
        <v/>
      </c>
    </row>
    <row r="261">
      <c r="A261" s="6" t="n"/>
      <c r="B261" s="6" t="n"/>
      <c r="C261" s="6" t="n"/>
      <c r="D261" s="6" t="n"/>
      <c r="E261" s="7" t="n"/>
      <c r="F261" s="6" t="n"/>
      <c r="G261" s="6" t="n"/>
      <c r="H261" s="6">
        <f>IF(G261&lt;&gt;"","Paid",IF(AND(F261&lt;&gt;"",F261&lt;TODAY()),"Overdue",IF(F261&lt;&gt;"","Upcoming","")))</f>
        <v/>
      </c>
      <c r="I261" s="6">
        <f>IF(AND(G261="",F261&lt;&gt;"",F261&lt;TODAY()),TODAY()-F261,"")</f>
        <v/>
      </c>
    </row>
    <row r="262">
      <c r="A262" s="6" t="n"/>
      <c r="B262" s="6" t="n"/>
      <c r="C262" s="6" t="n"/>
      <c r="D262" s="6" t="n"/>
      <c r="E262" s="7" t="n"/>
      <c r="F262" s="6" t="n"/>
      <c r="G262" s="6" t="n"/>
      <c r="H262" s="6">
        <f>IF(G262&lt;&gt;"","Paid",IF(AND(F262&lt;&gt;"",F262&lt;TODAY()),"Overdue",IF(F262&lt;&gt;"","Upcoming","")))</f>
        <v/>
      </c>
      <c r="I262" s="6">
        <f>IF(AND(G262="",F262&lt;&gt;"",F262&lt;TODAY()),TODAY()-F262,"")</f>
        <v/>
      </c>
    </row>
    <row r="263">
      <c r="A263" s="6" t="n"/>
      <c r="B263" s="6" t="n"/>
      <c r="C263" s="6" t="n"/>
      <c r="D263" s="6" t="n"/>
      <c r="E263" s="7" t="n"/>
      <c r="F263" s="6" t="n"/>
      <c r="G263" s="6" t="n"/>
      <c r="H263" s="6">
        <f>IF(G263&lt;&gt;"","Paid",IF(AND(F263&lt;&gt;"",F263&lt;TODAY()),"Overdue",IF(F263&lt;&gt;"","Upcoming","")))</f>
        <v/>
      </c>
      <c r="I263" s="6">
        <f>IF(AND(G263="",F263&lt;&gt;"",F263&lt;TODAY()),TODAY()-F263,"")</f>
        <v/>
      </c>
    </row>
    <row r="264">
      <c r="A264" s="6" t="n"/>
      <c r="B264" s="6" t="n"/>
      <c r="C264" s="6" t="n"/>
      <c r="D264" s="6" t="n"/>
      <c r="E264" s="7" t="n"/>
      <c r="F264" s="6" t="n"/>
      <c r="G264" s="6" t="n"/>
      <c r="H264" s="6">
        <f>IF(G264&lt;&gt;"","Paid",IF(AND(F264&lt;&gt;"",F264&lt;TODAY()),"Overdue",IF(F264&lt;&gt;"","Upcoming","")))</f>
        <v/>
      </c>
      <c r="I264" s="6">
        <f>IF(AND(G264="",F264&lt;&gt;"",F264&lt;TODAY()),TODAY()-F264,"")</f>
        <v/>
      </c>
    </row>
    <row r="265">
      <c r="A265" s="6" t="n"/>
      <c r="B265" s="6" t="n"/>
      <c r="C265" s="6" t="n"/>
      <c r="D265" s="6" t="n"/>
      <c r="E265" s="7" t="n"/>
      <c r="F265" s="6" t="n"/>
      <c r="G265" s="6" t="n"/>
      <c r="H265" s="6">
        <f>IF(G265&lt;&gt;"","Paid",IF(AND(F265&lt;&gt;"",F265&lt;TODAY()),"Overdue",IF(F265&lt;&gt;"","Upcoming","")))</f>
        <v/>
      </c>
      <c r="I265" s="6">
        <f>IF(AND(G265="",F265&lt;&gt;"",F265&lt;TODAY()),TODAY()-F265,"")</f>
        <v/>
      </c>
    </row>
    <row r="266">
      <c r="A266" s="6" t="n"/>
      <c r="B266" s="6" t="n"/>
      <c r="C266" s="6" t="n"/>
      <c r="D266" s="6" t="n"/>
      <c r="E266" s="7" t="n"/>
      <c r="F266" s="6" t="n"/>
      <c r="G266" s="6" t="n"/>
      <c r="H266" s="6">
        <f>IF(G266&lt;&gt;"","Paid",IF(AND(F266&lt;&gt;"",F266&lt;TODAY()),"Overdue",IF(F266&lt;&gt;"","Upcoming","")))</f>
        <v/>
      </c>
      <c r="I266" s="6">
        <f>IF(AND(G266="",F266&lt;&gt;"",F266&lt;TODAY()),TODAY()-F266,"")</f>
        <v/>
      </c>
    </row>
    <row r="267">
      <c r="A267" s="6" t="n"/>
      <c r="B267" s="6" t="n"/>
      <c r="C267" s="6" t="n"/>
      <c r="D267" s="6" t="n"/>
      <c r="E267" s="7" t="n"/>
      <c r="F267" s="6" t="n"/>
      <c r="G267" s="6" t="n"/>
      <c r="H267" s="6">
        <f>IF(G267&lt;&gt;"","Paid",IF(AND(F267&lt;&gt;"",F267&lt;TODAY()),"Overdue",IF(F267&lt;&gt;"","Upcoming","")))</f>
        <v/>
      </c>
      <c r="I267" s="6">
        <f>IF(AND(G267="",F267&lt;&gt;"",F267&lt;TODAY()),TODAY()-F267,"")</f>
        <v/>
      </c>
    </row>
    <row r="268">
      <c r="A268" s="6" t="n"/>
      <c r="B268" s="6" t="n"/>
      <c r="C268" s="6" t="n"/>
      <c r="D268" s="6" t="n"/>
      <c r="E268" s="7" t="n"/>
      <c r="F268" s="6" t="n"/>
      <c r="G268" s="6" t="n"/>
      <c r="H268" s="6">
        <f>IF(G268&lt;&gt;"","Paid",IF(AND(F268&lt;&gt;"",F268&lt;TODAY()),"Overdue",IF(F268&lt;&gt;"","Upcoming","")))</f>
        <v/>
      </c>
      <c r="I268" s="6">
        <f>IF(AND(G268="",F268&lt;&gt;"",F268&lt;TODAY()),TODAY()-F268,"")</f>
        <v/>
      </c>
    </row>
    <row r="269">
      <c r="A269" s="6" t="n"/>
      <c r="B269" s="6" t="n"/>
      <c r="C269" s="6" t="n"/>
      <c r="D269" s="6" t="n"/>
      <c r="E269" s="7" t="n"/>
      <c r="F269" s="6" t="n"/>
      <c r="G269" s="6" t="n"/>
      <c r="H269" s="6">
        <f>IF(G269&lt;&gt;"","Paid",IF(AND(F269&lt;&gt;"",F269&lt;TODAY()),"Overdue",IF(F269&lt;&gt;"","Upcoming","")))</f>
        <v/>
      </c>
      <c r="I269" s="6">
        <f>IF(AND(G269="",F269&lt;&gt;"",F269&lt;TODAY()),TODAY()-F269,"")</f>
        <v/>
      </c>
    </row>
    <row r="270">
      <c r="A270" s="6" t="n"/>
      <c r="B270" s="6" t="n"/>
      <c r="C270" s="6" t="n"/>
      <c r="D270" s="6" t="n"/>
      <c r="E270" s="7" t="n"/>
      <c r="F270" s="6" t="n"/>
      <c r="G270" s="6" t="n"/>
      <c r="H270" s="6">
        <f>IF(G270&lt;&gt;"","Paid",IF(AND(F270&lt;&gt;"",F270&lt;TODAY()),"Overdue",IF(F270&lt;&gt;"","Upcoming","")))</f>
        <v/>
      </c>
      <c r="I270" s="6">
        <f>IF(AND(G270="",F270&lt;&gt;"",F270&lt;TODAY()),TODAY()-F270,"")</f>
        <v/>
      </c>
    </row>
    <row r="271">
      <c r="A271" s="6" t="n"/>
      <c r="B271" s="6" t="n"/>
      <c r="C271" s="6" t="n"/>
      <c r="D271" s="6" t="n"/>
      <c r="E271" s="7" t="n"/>
      <c r="F271" s="6" t="n"/>
      <c r="G271" s="6" t="n"/>
      <c r="H271" s="6">
        <f>IF(G271&lt;&gt;"","Paid",IF(AND(F271&lt;&gt;"",F271&lt;TODAY()),"Overdue",IF(F271&lt;&gt;"","Upcoming","")))</f>
        <v/>
      </c>
      <c r="I271" s="6">
        <f>IF(AND(G271="",F271&lt;&gt;"",F271&lt;TODAY()),TODAY()-F271,"")</f>
        <v/>
      </c>
    </row>
    <row r="272">
      <c r="A272" s="6" t="n"/>
      <c r="B272" s="6" t="n"/>
      <c r="C272" s="6" t="n"/>
      <c r="D272" s="6" t="n"/>
      <c r="E272" s="7" t="n"/>
      <c r="F272" s="6" t="n"/>
      <c r="G272" s="6" t="n"/>
      <c r="H272" s="6">
        <f>IF(G272&lt;&gt;"","Paid",IF(AND(F272&lt;&gt;"",F272&lt;TODAY()),"Overdue",IF(F272&lt;&gt;"","Upcoming","")))</f>
        <v/>
      </c>
      <c r="I272" s="6">
        <f>IF(AND(G272="",F272&lt;&gt;"",F272&lt;TODAY()),TODAY()-F272,"")</f>
        <v/>
      </c>
    </row>
    <row r="273">
      <c r="A273" s="6" t="n"/>
      <c r="B273" s="6" t="n"/>
      <c r="C273" s="6" t="n"/>
      <c r="D273" s="6" t="n"/>
      <c r="E273" s="7" t="n"/>
      <c r="F273" s="6" t="n"/>
      <c r="G273" s="6" t="n"/>
      <c r="H273" s="6">
        <f>IF(G273&lt;&gt;"","Paid",IF(AND(F273&lt;&gt;"",F273&lt;TODAY()),"Overdue",IF(F273&lt;&gt;"","Upcoming","")))</f>
        <v/>
      </c>
      <c r="I273" s="6">
        <f>IF(AND(G273="",F273&lt;&gt;"",F273&lt;TODAY()),TODAY()-F273,"")</f>
        <v/>
      </c>
    </row>
    <row r="274">
      <c r="A274" s="6" t="n"/>
      <c r="B274" s="6" t="n"/>
      <c r="C274" s="6" t="n"/>
      <c r="D274" s="6" t="n"/>
      <c r="E274" s="7" t="n"/>
      <c r="F274" s="6" t="n"/>
      <c r="G274" s="6" t="n"/>
      <c r="H274" s="6">
        <f>IF(G274&lt;&gt;"","Paid",IF(AND(F274&lt;&gt;"",F274&lt;TODAY()),"Overdue",IF(F274&lt;&gt;"","Upcoming","")))</f>
        <v/>
      </c>
      <c r="I274" s="6">
        <f>IF(AND(G274="",F274&lt;&gt;"",F274&lt;TODAY()),TODAY()-F274,"")</f>
        <v/>
      </c>
    </row>
    <row r="275">
      <c r="A275" s="6" t="n"/>
      <c r="B275" s="6" t="n"/>
      <c r="C275" s="6" t="n"/>
      <c r="D275" s="6" t="n"/>
      <c r="E275" s="7" t="n"/>
      <c r="F275" s="6" t="n"/>
      <c r="G275" s="6" t="n"/>
      <c r="H275" s="6">
        <f>IF(G275&lt;&gt;"","Paid",IF(AND(F275&lt;&gt;"",F275&lt;TODAY()),"Overdue",IF(F275&lt;&gt;"","Upcoming","")))</f>
        <v/>
      </c>
      <c r="I275" s="6">
        <f>IF(AND(G275="",F275&lt;&gt;"",F275&lt;TODAY()),TODAY()-F275,"")</f>
        <v/>
      </c>
    </row>
    <row r="276">
      <c r="A276" s="6" t="n"/>
      <c r="B276" s="6" t="n"/>
      <c r="C276" s="6" t="n"/>
      <c r="D276" s="6" t="n"/>
      <c r="E276" s="7" t="n"/>
      <c r="F276" s="6" t="n"/>
      <c r="G276" s="6" t="n"/>
      <c r="H276" s="6">
        <f>IF(G276&lt;&gt;"","Paid",IF(AND(F276&lt;&gt;"",F276&lt;TODAY()),"Overdue",IF(F276&lt;&gt;"","Upcoming","")))</f>
        <v/>
      </c>
      <c r="I276" s="6">
        <f>IF(AND(G276="",F276&lt;&gt;"",F276&lt;TODAY()),TODAY()-F276,"")</f>
        <v/>
      </c>
    </row>
    <row r="277">
      <c r="A277" s="6" t="n"/>
      <c r="B277" s="6" t="n"/>
      <c r="C277" s="6" t="n"/>
      <c r="D277" s="6" t="n"/>
      <c r="E277" s="7" t="n"/>
      <c r="F277" s="6" t="n"/>
      <c r="G277" s="6" t="n"/>
      <c r="H277" s="6">
        <f>IF(G277&lt;&gt;"","Paid",IF(AND(F277&lt;&gt;"",F277&lt;TODAY()),"Overdue",IF(F277&lt;&gt;"","Upcoming","")))</f>
        <v/>
      </c>
      <c r="I277" s="6">
        <f>IF(AND(G277="",F277&lt;&gt;"",F277&lt;TODAY()),TODAY()-F277,"")</f>
        <v/>
      </c>
    </row>
    <row r="278">
      <c r="A278" s="6" t="n"/>
      <c r="B278" s="6" t="n"/>
      <c r="C278" s="6" t="n"/>
      <c r="D278" s="6" t="n"/>
      <c r="E278" s="7" t="n"/>
      <c r="F278" s="6" t="n"/>
      <c r="G278" s="6" t="n"/>
      <c r="H278" s="6">
        <f>IF(G278&lt;&gt;"","Paid",IF(AND(F278&lt;&gt;"",F278&lt;TODAY()),"Overdue",IF(F278&lt;&gt;"","Upcoming","")))</f>
        <v/>
      </c>
      <c r="I278" s="6">
        <f>IF(AND(G278="",F278&lt;&gt;"",F278&lt;TODAY()),TODAY()-F278,"")</f>
        <v/>
      </c>
    </row>
    <row r="279">
      <c r="A279" s="6" t="n"/>
      <c r="B279" s="6" t="n"/>
      <c r="C279" s="6" t="n"/>
      <c r="D279" s="6" t="n"/>
      <c r="E279" s="7" t="n"/>
      <c r="F279" s="6" t="n"/>
      <c r="G279" s="6" t="n"/>
      <c r="H279" s="6">
        <f>IF(G279&lt;&gt;"","Paid",IF(AND(F279&lt;&gt;"",F279&lt;TODAY()),"Overdue",IF(F279&lt;&gt;"","Upcoming","")))</f>
        <v/>
      </c>
      <c r="I279" s="6">
        <f>IF(AND(G279="",F279&lt;&gt;"",F279&lt;TODAY()),TODAY()-F279,"")</f>
        <v/>
      </c>
    </row>
    <row r="280">
      <c r="A280" s="6" t="n"/>
      <c r="B280" s="6" t="n"/>
      <c r="C280" s="6" t="n"/>
      <c r="D280" s="6" t="n"/>
      <c r="E280" s="7" t="n"/>
      <c r="F280" s="6" t="n"/>
      <c r="G280" s="6" t="n"/>
      <c r="H280" s="6">
        <f>IF(G280&lt;&gt;"","Paid",IF(AND(F280&lt;&gt;"",F280&lt;TODAY()),"Overdue",IF(F280&lt;&gt;"","Upcoming","")))</f>
        <v/>
      </c>
      <c r="I280" s="6">
        <f>IF(AND(G280="",F280&lt;&gt;"",F280&lt;TODAY()),TODAY()-F280,"")</f>
        <v/>
      </c>
    </row>
    <row r="281">
      <c r="A281" s="6" t="n"/>
      <c r="B281" s="6" t="n"/>
      <c r="C281" s="6" t="n"/>
      <c r="D281" s="6" t="n"/>
      <c r="E281" s="7" t="n"/>
      <c r="F281" s="6" t="n"/>
      <c r="G281" s="6" t="n"/>
      <c r="H281" s="6">
        <f>IF(G281&lt;&gt;"","Paid",IF(AND(F281&lt;&gt;"",F281&lt;TODAY()),"Overdue",IF(F281&lt;&gt;"","Upcoming","")))</f>
        <v/>
      </c>
      <c r="I281" s="6">
        <f>IF(AND(G281="",F281&lt;&gt;"",F281&lt;TODAY()),TODAY()-F281,"")</f>
        <v/>
      </c>
    </row>
    <row r="282">
      <c r="A282" s="6" t="n"/>
      <c r="B282" s="6" t="n"/>
      <c r="C282" s="6" t="n"/>
      <c r="D282" s="6" t="n"/>
      <c r="E282" s="7" t="n"/>
      <c r="F282" s="6" t="n"/>
      <c r="G282" s="6" t="n"/>
      <c r="H282" s="6">
        <f>IF(G282&lt;&gt;"","Paid",IF(AND(F282&lt;&gt;"",F282&lt;TODAY()),"Overdue",IF(F282&lt;&gt;"","Upcoming","")))</f>
        <v/>
      </c>
      <c r="I282" s="6">
        <f>IF(AND(G282="",F282&lt;&gt;"",F282&lt;TODAY()),TODAY()-F282,"")</f>
        <v/>
      </c>
    </row>
    <row r="283">
      <c r="A283" s="6" t="n"/>
      <c r="B283" s="6" t="n"/>
      <c r="C283" s="6" t="n"/>
      <c r="D283" s="6" t="n"/>
      <c r="E283" s="7" t="n"/>
      <c r="F283" s="6" t="n"/>
      <c r="G283" s="6" t="n"/>
      <c r="H283" s="6">
        <f>IF(G283&lt;&gt;"","Paid",IF(AND(F283&lt;&gt;"",F283&lt;TODAY()),"Overdue",IF(F283&lt;&gt;"","Upcoming","")))</f>
        <v/>
      </c>
      <c r="I283" s="6">
        <f>IF(AND(G283="",F283&lt;&gt;"",F283&lt;TODAY()),TODAY()-F283,"")</f>
        <v/>
      </c>
    </row>
    <row r="284">
      <c r="A284" s="6" t="n"/>
      <c r="B284" s="6" t="n"/>
      <c r="C284" s="6" t="n"/>
      <c r="D284" s="6" t="n"/>
      <c r="E284" s="7" t="n"/>
      <c r="F284" s="6" t="n"/>
      <c r="G284" s="6" t="n"/>
      <c r="H284" s="6">
        <f>IF(G284&lt;&gt;"","Paid",IF(AND(F284&lt;&gt;"",F284&lt;TODAY()),"Overdue",IF(F284&lt;&gt;"","Upcoming","")))</f>
        <v/>
      </c>
      <c r="I284" s="6">
        <f>IF(AND(G284="",F284&lt;&gt;"",F284&lt;TODAY()),TODAY()-F284,"")</f>
        <v/>
      </c>
    </row>
    <row r="285">
      <c r="A285" s="6" t="n"/>
      <c r="B285" s="6" t="n"/>
      <c r="C285" s="6" t="n"/>
      <c r="D285" s="6" t="n"/>
      <c r="E285" s="7" t="n"/>
      <c r="F285" s="6" t="n"/>
      <c r="G285" s="6" t="n"/>
      <c r="H285" s="6">
        <f>IF(G285&lt;&gt;"","Paid",IF(AND(F285&lt;&gt;"",F285&lt;TODAY()),"Overdue",IF(F285&lt;&gt;"","Upcoming","")))</f>
        <v/>
      </c>
      <c r="I285" s="6">
        <f>IF(AND(G285="",F285&lt;&gt;"",F285&lt;TODAY()),TODAY()-F285,"")</f>
        <v/>
      </c>
    </row>
    <row r="286">
      <c r="A286" s="6" t="n"/>
      <c r="B286" s="6" t="n"/>
      <c r="C286" s="6" t="n"/>
      <c r="D286" s="6" t="n"/>
      <c r="E286" s="7" t="n"/>
      <c r="F286" s="6" t="n"/>
      <c r="G286" s="6" t="n"/>
      <c r="H286" s="6">
        <f>IF(G286&lt;&gt;"","Paid",IF(AND(F286&lt;&gt;"",F286&lt;TODAY()),"Overdue",IF(F286&lt;&gt;"","Upcoming","")))</f>
        <v/>
      </c>
      <c r="I286" s="6">
        <f>IF(AND(G286="",F286&lt;&gt;"",F286&lt;TODAY()),TODAY()-F286,"")</f>
        <v/>
      </c>
    </row>
    <row r="287">
      <c r="A287" s="6" t="n"/>
      <c r="B287" s="6" t="n"/>
      <c r="C287" s="6" t="n"/>
      <c r="D287" s="6" t="n"/>
      <c r="E287" s="7" t="n"/>
      <c r="F287" s="6" t="n"/>
      <c r="G287" s="6" t="n"/>
      <c r="H287" s="6">
        <f>IF(G287&lt;&gt;"","Paid",IF(AND(F287&lt;&gt;"",F287&lt;TODAY()),"Overdue",IF(F287&lt;&gt;"","Upcoming","")))</f>
        <v/>
      </c>
      <c r="I287" s="6">
        <f>IF(AND(G287="",F287&lt;&gt;"",F287&lt;TODAY()),TODAY()-F287,"")</f>
        <v/>
      </c>
    </row>
    <row r="288">
      <c r="A288" s="6" t="n"/>
      <c r="B288" s="6" t="n"/>
      <c r="C288" s="6" t="n"/>
      <c r="D288" s="6" t="n"/>
      <c r="E288" s="7" t="n"/>
      <c r="F288" s="6" t="n"/>
      <c r="G288" s="6" t="n"/>
      <c r="H288" s="6">
        <f>IF(G288&lt;&gt;"","Paid",IF(AND(F288&lt;&gt;"",F288&lt;TODAY()),"Overdue",IF(F288&lt;&gt;"","Upcoming","")))</f>
        <v/>
      </c>
      <c r="I288" s="6">
        <f>IF(AND(G288="",F288&lt;&gt;"",F288&lt;TODAY()),TODAY()-F288,"")</f>
        <v/>
      </c>
    </row>
    <row r="289">
      <c r="A289" s="6" t="n"/>
      <c r="B289" s="6" t="n"/>
      <c r="C289" s="6" t="n"/>
      <c r="D289" s="6" t="n"/>
      <c r="E289" s="7" t="n"/>
      <c r="F289" s="6" t="n"/>
      <c r="G289" s="6" t="n"/>
      <c r="H289" s="6">
        <f>IF(G289&lt;&gt;"","Paid",IF(AND(F289&lt;&gt;"",F289&lt;TODAY()),"Overdue",IF(F289&lt;&gt;"","Upcoming","")))</f>
        <v/>
      </c>
      <c r="I289" s="6">
        <f>IF(AND(G289="",F289&lt;&gt;"",F289&lt;TODAY()),TODAY()-F289,"")</f>
        <v/>
      </c>
    </row>
    <row r="290">
      <c r="A290" s="6" t="n"/>
      <c r="B290" s="6" t="n"/>
      <c r="C290" s="6" t="n"/>
      <c r="D290" s="6" t="n"/>
      <c r="E290" s="7" t="n"/>
      <c r="F290" s="6" t="n"/>
      <c r="G290" s="6" t="n"/>
      <c r="H290" s="6">
        <f>IF(G290&lt;&gt;"","Paid",IF(AND(F290&lt;&gt;"",F290&lt;TODAY()),"Overdue",IF(F290&lt;&gt;"","Upcoming","")))</f>
        <v/>
      </c>
      <c r="I290" s="6">
        <f>IF(AND(G290="",F290&lt;&gt;"",F290&lt;TODAY()),TODAY()-F290,"")</f>
        <v/>
      </c>
    </row>
    <row r="291">
      <c r="A291" s="6" t="n"/>
      <c r="B291" s="6" t="n"/>
      <c r="C291" s="6" t="n"/>
      <c r="D291" s="6" t="n"/>
      <c r="E291" s="7" t="n"/>
      <c r="F291" s="6" t="n"/>
      <c r="G291" s="6" t="n"/>
      <c r="H291" s="6">
        <f>IF(G291&lt;&gt;"","Paid",IF(AND(F291&lt;&gt;"",F291&lt;TODAY()),"Overdue",IF(F291&lt;&gt;"","Upcoming","")))</f>
        <v/>
      </c>
      <c r="I291" s="6">
        <f>IF(AND(G291="",F291&lt;&gt;"",F291&lt;TODAY()),TODAY()-F291,"")</f>
        <v/>
      </c>
    </row>
    <row r="292">
      <c r="A292" s="6" t="n"/>
      <c r="B292" s="6" t="n"/>
      <c r="C292" s="6" t="n"/>
      <c r="D292" s="6" t="n"/>
      <c r="E292" s="7" t="n"/>
      <c r="F292" s="6" t="n"/>
      <c r="G292" s="6" t="n"/>
      <c r="H292" s="6">
        <f>IF(G292&lt;&gt;"","Paid",IF(AND(F292&lt;&gt;"",F292&lt;TODAY()),"Overdue",IF(F292&lt;&gt;"","Upcoming","")))</f>
        <v/>
      </c>
      <c r="I292" s="6">
        <f>IF(AND(G292="",F292&lt;&gt;"",F292&lt;TODAY()),TODAY()-F292,"")</f>
        <v/>
      </c>
    </row>
    <row r="293">
      <c r="A293" s="6" t="n"/>
      <c r="B293" s="6" t="n"/>
      <c r="C293" s="6" t="n"/>
      <c r="D293" s="6" t="n"/>
      <c r="E293" s="7" t="n"/>
      <c r="F293" s="6" t="n"/>
      <c r="G293" s="6" t="n"/>
      <c r="H293" s="6">
        <f>IF(G293&lt;&gt;"","Paid",IF(AND(F293&lt;&gt;"",F293&lt;TODAY()),"Overdue",IF(F293&lt;&gt;"","Upcoming","")))</f>
        <v/>
      </c>
      <c r="I293" s="6">
        <f>IF(AND(G293="",F293&lt;&gt;"",F293&lt;TODAY()),TODAY()-F293,"")</f>
        <v/>
      </c>
    </row>
    <row r="294">
      <c r="A294" s="6" t="n"/>
      <c r="B294" s="6" t="n"/>
      <c r="C294" s="6" t="n"/>
      <c r="D294" s="6" t="n"/>
      <c r="E294" s="7" t="n"/>
      <c r="F294" s="6" t="n"/>
      <c r="G294" s="6" t="n"/>
      <c r="H294" s="6">
        <f>IF(G294&lt;&gt;"","Paid",IF(AND(F294&lt;&gt;"",F294&lt;TODAY()),"Overdue",IF(F294&lt;&gt;"","Upcoming","")))</f>
        <v/>
      </c>
      <c r="I294" s="6">
        <f>IF(AND(G294="",F294&lt;&gt;"",F294&lt;TODAY()),TODAY()-F294,"")</f>
        <v/>
      </c>
    </row>
    <row r="295">
      <c r="A295" s="6" t="n"/>
      <c r="B295" s="6" t="n"/>
      <c r="C295" s="6" t="n"/>
      <c r="D295" s="6" t="n"/>
      <c r="E295" s="7" t="n"/>
      <c r="F295" s="6" t="n"/>
      <c r="G295" s="6" t="n"/>
      <c r="H295" s="6">
        <f>IF(G295&lt;&gt;"","Paid",IF(AND(F295&lt;&gt;"",F295&lt;TODAY()),"Overdue",IF(F295&lt;&gt;"","Upcoming","")))</f>
        <v/>
      </c>
      <c r="I295" s="6">
        <f>IF(AND(G295="",F295&lt;&gt;"",F295&lt;TODAY()),TODAY()-F295,"")</f>
        <v/>
      </c>
    </row>
    <row r="296">
      <c r="A296" s="6" t="n"/>
      <c r="B296" s="6" t="n"/>
      <c r="C296" s="6" t="n"/>
      <c r="D296" s="6" t="n"/>
      <c r="E296" s="7" t="n"/>
      <c r="F296" s="6" t="n"/>
      <c r="G296" s="6" t="n"/>
      <c r="H296" s="6">
        <f>IF(G296&lt;&gt;"","Paid",IF(AND(F296&lt;&gt;"",F296&lt;TODAY()),"Overdue",IF(F296&lt;&gt;"","Upcoming","")))</f>
        <v/>
      </c>
      <c r="I296" s="6">
        <f>IF(AND(G296="",F296&lt;&gt;"",F296&lt;TODAY()),TODAY()-F296,"")</f>
        <v/>
      </c>
    </row>
    <row r="297">
      <c r="A297" s="6" t="n"/>
      <c r="B297" s="6" t="n"/>
      <c r="C297" s="6" t="n"/>
      <c r="D297" s="6" t="n"/>
      <c r="E297" s="7" t="n"/>
      <c r="F297" s="6" t="n"/>
      <c r="G297" s="6" t="n"/>
      <c r="H297" s="6">
        <f>IF(G297&lt;&gt;"","Paid",IF(AND(F297&lt;&gt;"",F297&lt;TODAY()),"Overdue",IF(F297&lt;&gt;"","Upcoming","")))</f>
        <v/>
      </c>
      <c r="I297" s="6">
        <f>IF(AND(G297="",F297&lt;&gt;"",F297&lt;TODAY()),TODAY()-F297,"")</f>
        <v/>
      </c>
    </row>
    <row r="298">
      <c r="A298" s="6" t="n"/>
      <c r="B298" s="6" t="n"/>
      <c r="C298" s="6" t="n"/>
      <c r="D298" s="6" t="n"/>
      <c r="E298" s="7" t="n"/>
      <c r="F298" s="6" t="n"/>
      <c r="G298" s="6" t="n"/>
      <c r="H298" s="6">
        <f>IF(G298&lt;&gt;"","Paid",IF(AND(F298&lt;&gt;"",F298&lt;TODAY()),"Overdue",IF(F298&lt;&gt;"","Upcoming","")))</f>
        <v/>
      </c>
      <c r="I298" s="6">
        <f>IF(AND(G298="",F298&lt;&gt;"",F298&lt;TODAY()),TODAY()-F298,"")</f>
        <v/>
      </c>
    </row>
    <row r="299">
      <c r="A299" s="6" t="n"/>
      <c r="B299" s="6" t="n"/>
      <c r="C299" s="6" t="n"/>
      <c r="D299" s="6" t="n"/>
      <c r="E299" s="7" t="n"/>
      <c r="F299" s="6" t="n"/>
      <c r="G299" s="6" t="n"/>
      <c r="H299" s="6">
        <f>IF(G299&lt;&gt;"","Paid",IF(AND(F299&lt;&gt;"",F299&lt;TODAY()),"Overdue",IF(F299&lt;&gt;"","Upcoming","")))</f>
        <v/>
      </c>
      <c r="I299" s="6">
        <f>IF(AND(G299="",F299&lt;&gt;"",F299&lt;TODAY()),TODAY()-F299,"")</f>
        <v/>
      </c>
    </row>
    <row r="300">
      <c r="A300" s="6" t="n"/>
      <c r="B300" s="6" t="n"/>
      <c r="C300" s="6" t="n"/>
      <c r="D300" s="6" t="n"/>
      <c r="E300" s="7" t="n"/>
      <c r="F300" s="6" t="n"/>
      <c r="G300" s="6" t="n"/>
      <c r="H300" s="6">
        <f>IF(G300&lt;&gt;"","Paid",IF(AND(F300&lt;&gt;"",F300&lt;TODAY()),"Overdue",IF(F300&lt;&gt;"","Upcoming","")))</f>
        <v/>
      </c>
      <c r="I300" s="6">
        <f>IF(AND(G300="",F300&lt;&gt;"",F300&lt;TODAY()),TODAY()-F300,"")</f>
        <v/>
      </c>
    </row>
    <row r="301">
      <c r="A301" s="6" t="n"/>
      <c r="B301" s="6" t="n"/>
      <c r="C301" s="6" t="n"/>
      <c r="D301" s="6" t="n"/>
      <c r="E301" s="7" t="n"/>
      <c r="F301" s="6" t="n"/>
      <c r="G301" s="6" t="n"/>
      <c r="H301" s="6">
        <f>IF(G301&lt;&gt;"","Paid",IF(AND(F301&lt;&gt;"",F301&lt;TODAY()),"Overdue",IF(F301&lt;&gt;"","Upcoming","")))</f>
        <v/>
      </c>
      <c r="I301" s="6">
        <f>IF(AND(G301="",F301&lt;&gt;"",F301&lt;TODAY()),TODAY()-F301,"")</f>
        <v/>
      </c>
    </row>
    <row r="303">
      <c r="A303" s="8" t="inlineStr">
        <is>
          <t>Status and Days Overdue calculate automatically from Due Date and Date Paid — don't type into those two columns.</t>
        </is>
      </c>
    </row>
  </sheetData>
  <dataValidations count="0"/>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13"/>
  <sheetViews>
    <sheetView showGridLines="0" workbookViewId="0">
      <selection activeCell="A1" sqref="A1"/>
    </sheetView>
  </sheetViews>
  <sheetFormatPr baseColWidth="8" defaultRowHeight="15"/>
  <cols>
    <col width="38" customWidth="1" min="1" max="1"/>
    <col width="18" customWidth="1" min="2" max="2"/>
    <col width="4" customWidth="1" min="3" max="3"/>
    <col width="46" customWidth="1" min="4" max="4"/>
  </cols>
  <sheetData>
    <row r="2">
      <c r="A2" s="1" t="inlineStr">
        <is>
          <t>Reminder Dashboard</t>
        </is>
      </c>
    </row>
    <row r="4">
      <c r="A4" s="9" t="inlineStr">
        <is>
          <t>Total invoiced (all time)</t>
        </is>
      </c>
      <c r="B4" s="10">
        <f>SUM('Invoice Log'!$E$2:$E$301)</f>
        <v/>
      </c>
      <c r="D4" s="9" t="inlineStr">
        <is>
          <t>How to use this tab</t>
        </is>
      </c>
    </row>
    <row r="5">
      <c r="A5" s="11" t="inlineStr">
        <is>
          <t>Total outstanding (unpaid)</t>
        </is>
      </c>
      <c r="B5" s="12">
        <f>SUMIF('Invoice Log'!$G$2:$G$301,"",'Invoice Log'!$E$2:$E$301)</f>
        <v/>
      </c>
      <c r="D5" s="13" t="inlineStr">
        <is>
          <t>The counts on the left tell you how many invoices need which reminder stage today.</t>
        </is>
      </c>
    </row>
    <row r="6">
      <c r="D6" s="13" t="inlineStr">
        <is>
          <t>Filter the Invoice Log's Days Overdue column to find exactly which invoices they are.</t>
        </is>
      </c>
    </row>
    <row r="7">
      <c r="A7" s="9" t="inlineStr">
        <is>
          <t>Invoices overdue</t>
        </is>
      </c>
      <c r="B7">
        <f>COUNTIF('Invoice Log'!$H$2:$H$301,"Overdue")</f>
        <v/>
      </c>
      <c r="D7" s="13" t="inlineStr">
        <is>
          <t>Reminder email scripts for each stage are in the PDF guide.</t>
        </is>
      </c>
    </row>
    <row r="8">
      <c r="A8" s="14" t="inlineStr">
        <is>
          <t>Invoices upcoming (not yet due)</t>
        </is>
      </c>
      <c r="B8">
        <f>COUNTIF('Invoice Log'!$H$2:$H$301,"Upcoming")</f>
        <v/>
      </c>
      <c r="D8" s="13" t="inlineStr">
        <is>
          <t>Check this tab on a fixed schedule (weekly is enough) — don't wait until you happen to remember an invoice is late.</t>
        </is>
      </c>
    </row>
    <row r="9">
      <c r="A9" s="14" t="inlineStr">
        <is>
          <t>Invoices paid</t>
        </is>
      </c>
      <c r="B9">
        <f>COUNTIF('Invoice Log'!$H$2:$H$301,"Paid")</f>
        <v/>
      </c>
    </row>
    <row r="11">
      <c r="A11" s="15" t="inlineStr">
        <is>
          <t>Overdue 1-6 days (send: Due date / 7-day reminder next)</t>
        </is>
      </c>
      <c r="B11">
        <f>COUNTIFS('Invoice Log'!$I$2:$I$301,"&gt;=1",'Invoice Log'!$I$2:$I$301,"&lt;7")</f>
        <v/>
      </c>
    </row>
    <row r="12">
      <c r="A12" s="15" t="inlineStr">
        <is>
          <t>Overdue 7-13 days (send: 7-day firmer follow-up)</t>
        </is>
      </c>
      <c r="B12">
        <f>COUNTIFS('Invoice Log'!$I$2:$I$301,"&gt;=7",'Invoice Log'!$I$2:$I$301,"&lt;14")</f>
        <v/>
      </c>
    </row>
    <row r="13">
      <c r="A13" s="16" t="inlineStr">
        <is>
          <t>Overdue 14+ days (send: final notice / consider escalation)</t>
        </is>
      </c>
      <c r="B13" s="17">
        <f>COUNTIFS('Invoice Log'!$I$2:$I$301,"&gt;=14")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D4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s>
  <sheetData>
    <row r="2">
      <c r="A2" s="18" t="inlineStr">
        <is>
          <t>INVOICE</t>
        </is>
      </c>
    </row>
    <row r="4">
      <c r="A4" s="19" t="inlineStr">
        <is>
          <t>From (your business name)</t>
        </is>
      </c>
      <c r="B4" s="20" t="n"/>
    </row>
    <row r="5">
      <c r="A5" s="19" t="inlineStr">
        <is>
          <t>Your address / email</t>
        </is>
      </c>
      <c r="B5" s="20" t="n"/>
    </row>
    <row r="7">
      <c r="A7" s="19" t="inlineStr">
        <is>
          <t>Bill To (client / company)</t>
        </is>
      </c>
      <c r="B7" s="20" t="n"/>
    </row>
    <row r="8">
      <c r="A8" s="19" t="inlineStr">
        <is>
          <t>Client address / email</t>
        </is>
      </c>
      <c r="B8" s="20" t="n"/>
    </row>
    <row r="10">
      <c r="A10" s="19" t="inlineStr">
        <is>
          <t>Invoice #</t>
        </is>
      </c>
      <c r="B10" s="20" t="n"/>
    </row>
    <row r="11">
      <c r="A11" s="19" t="inlineStr">
        <is>
          <t>Date Issued</t>
        </is>
      </c>
      <c r="B11" s="20" t="n"/>
    </row>
    <row r="12">
      <c r="A12" s="19" t="inlineStr">
        <is>
          <t>Due Date</t>
        </is>
      </c>
      <c r="B12" s="20" t="n"/>
    </row>
    <row r="13">
      <c r="A13" s="19" t="inlineStr">
        <is>
          <t>Payment Terms</t>
        </is>
      </c>
      <c r="B13" s="20" t="n"/>
    </row>
    <row r="16">
      <c r="A16" s="5" t="inlineStr">
        <is>
          <t>Description</t>
        </is>
      </c>
      <c r="B16" s="5" t="inlineStr">
        <is>
          <t>Qty</t>
        </is>
      </c>
      <c r="C16" s="5" t="inlineStr">
        <is>
          <t>Rate</t>
        </is>
      </c>
      <c r="D16" s="5" t="inlineStr">
        <is>
          <t>Amount</t>
        </is>
      </c>
    </row>
    <row r="17">
      <c r="A17" s="6" t="n"/>
      <c r="B17" s="6" t="n"/>
      <c r="C17" s="7" t="n"/>
      <c r="D17" s="7">
        <f>IF(OR(B17="",C17=""),"",B17*C17)</f>
        <v/>
      </c>
    </row>
    <row r="18">
      <c r="A18" s="6" t="n"/>
      <c r="B18" s="6" t="n"/>
      <c r="C18" s="7" t="n"/>
      <c r="D18" s="7">
        <f>IF(OR(B18="",C18=""),"",B18*C18)</f>
        <v/>
      </c>
    </row>
    <row r="19">
      <c r="A19" s="6" t="n"/>
      <c r="B19" s="6" t="n"/>
      <c r="C19" s="7" t="n"/>
      <c r="D19" s="7">
        <f>IF(OR(B19="",C19=""),"",B19*C19)</f>
        <v/>
      </c>
    </row>
    <row r="20">
      <c r="A20" s="6" t="n"/>
      <c r="B20" s="6" t="n"/>
      <c r="C20" s="7" t="n"/>
      <c r="D20" s="7">
        <f>IF(OR(B20="",C20=""),"",B20*C20)</f>
        <v/>
      </c>
    </row>
    <row r="21">
      <c r="A21" s="6" t="n"/>
      <c r="B21" s="6" t="n"/>
      <c r="C21" s="7" t="n"/>
      <c r="D21" s="7">
        <f>IF(OR(B21="",C21=""),"",B21*C21)</f>
        <v/>
      </c>
    </row>
    <row r="22">
      <c r="A22" s="6" t="n"/>
      <c r="B22" s="6" t="n"/>
      <c r="C22" s="7" t="n"/>
      <c r="D22" s="7">
        <f>IF(OR(B22="",C22=""),"",B22*C22)</f>
        <v/>
      </c>
    </row>
    <row r="23">
      <c r="A23" s="6" t="n"/>
      <c r="B23" s="6" t="n"/>
      <c r="C23" s="7" t="n"/>
      <c r="D23" s="7">
        <f>IF(OR(B23="",C23=""),"",B23*C23)</f>
        <v/>
      </c>
    </row>
    <row r="24">
      <c r="A24" s="6" t="n"/>
      <c r="B24" s="6" t="n"/>
      <c r="C24" s="7" t="n"/>
      <c r="D24" s="7">
        <f>IF(OR(B24="",C24=""),"",B24*C24)</f>
        <v/>
      </c>
    </row>
    <row r="25">
      <c r="A25" s="6" t="n"/>
      <c r="B25" s="6" t="n"/>
      <c r="C25" s="7" t="n"/>
      <c r="D25" s="7">
        <f>IF(OR(B25="",C25=""),"",B25*C25)</f>
        <v/>
      </c>
    </row>
    <row r="26">
      <c r="A26" s="6" t="n"/>
      <c r="B26" s="6" t="n"/>
      <c r="C26" s="7" t="n"/>
      <c r="D26" s="7">
        <f>IF(OR(B26="",C26=""),"",B26*C26)</f>
        <v/>
      </c>
    </row>
    <row r="28">
      <c r="C28" s="16" t="inlineStr">
        <is>
          <t>Subtotal</t>
        </is>
      </c>
      <c r="D28" s="10">
        <f>SUM(D17:D27)</f>
        <v/>
      </c>
    </row>
    <row r="29">
      <c r="C29" s="15" t="inlineStr">
        <is>
          <t>Tax %</t>
        </is>
      </c>
      <c r="D29" s="21" t="n">
        <v>0</v>
      </c>
    </row>
    <row r="30">
      <c r="C30" s="11" t="inlineStr">
        <is>
          <t>Total Due</t>
        </is>
      </c>
      <c r="D30" s="12">
        <f>D28*(1+D29/100)</f>
        <v/>
      </c>
    </row>
    <row r="33">
      <c r="A33" s="16" t="inlineStr">
        <is>
          <t>Payment methods accepted</t>
        </is>
      </c>
    </row>
    <row r="34">
      <c r="A34" s="22" t="inlineStr"/>
    </row>
    <row r="36">
      <c r="A36" s="16" t="inlineStr">
        <is>
          <t>Late fee terms (state this if you use one — see PDF guide)</t>
        </is>
      </c>
    </row>
    <row r="37">
      <c r="A37" s="6" t="inlineStr"/>
    </row>
    <row r="40">
      <c r="A40" s="23" t="inlineStr">
        <is>
          <t>Fill in the highlighted cells and either export this tab (File &gt; Export/Print to PDF) or copy the layout into your invoicing tool of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2026-07-20T00:25:13Z</dcterms:created>
  <dcterms:modified xsi:type="dcterms:W3CDTF">2026-07-20T00:25:13Z</dcterms:modified>
</cp:coreProperties>
</file>